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mc:AlternateContent xmlns:mc="http://schemas.openxmlformats.org/markup-compatibility/2006">
    <mc:Choice Requires="x15">
      <x15ac:absPath xmlns:x15ac="http://schemas.microsoft.com/office/spreadsheetml/2010/11/ac" url="/Users/prestonkemeny/Documents/Alaska/MEANDIR_Alaska/"/>
    </mc:Choice>
  </mc:AlternateContent>
  <xr:revisionPtr revIDLastSave="0" documentId="13_ncr:1_{DD2535DE-C1A3-1840-9AB9-F3A15D99A158}" xr6:coauthVersionLast="47" xr6:coauthVersionMax="47" xr10:uidLastSave="{00000000-0000-0000-0000-000000000000}"/>
  <bookViews>
    <workbookView xWindow="35120" yWindow="-16540" windowWidth="43900" windowHeight="26180" tabRatio="500" xr2:uid="{00000000-000D-0000-FFFF-FFFF00000000}"/>
  </bookViews>
  <sheets>
    <sheet name="MEANDIR_Endmembers" sheetId="1" r:id="rId1"/>
    <sheet name="MEANDIR_conc2equi" sheetId="3" r:id="rId2"/>
    <sheet name="MEANDIR_DeltaNotationToR" sheetId="2" r:id="rId3"/>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56" i="1" l="1"/>
  <c r="F55" i="1"/>
  <c r="F54" i="1"/>
  <c r="F53" i="1"/>
  <c r="F52" i="1"/>
  <c r="F51" i="1"/>
  <c r="G50" i="1"/>
  <c r="F50" i="1"/>
  <c r="G49" i="1"/>
  <c r="F49" i="1"/>
  <c r="F48" i="1"/>
  <c r="F47" i="1"/>
  <c r="F46" i="1"/>
  <c r="F45" i="1"/>
  <c r="F44" i="1"/>
  <c r="F43" i="1"/>
  <c r="G42" i="1"/>
  <c r="F42" i="1"/>
  <c r="F41" i="1"/>
  <c r="G40" i="1"/>
  <c r="F40" i="1"/>
  <c r="G39" i="1"/>
  <c r="F39" i="1"/>
  <c r="C7" i="2"/>
  <c r="F38" i="1"/>
  <c r="F37" i="1"/>
  <c r="F36" i="1"/>
  <c r="F35" i="1"/>
  <c r="F34" i="1"/>
  <c r="F33" i="1"/>
  <c r="G32" i="1"/>
  <c r="F32" i="1"/>
  <c r="G31" i="1"/>
  <c r="F31" i="1"/>
  <c r="F30" i="1"/>
  <c r="F29" i="1"/>
  <c r="F28" i="1"/>
  <c r="F27" i="1"/>
  <c r="F26" i="1"/>
  <c r="F25" i="1"/>
  <c r="G24" i="1"/>
  <c r="F24" i="1"/>
  <c r="F23" i="1"/>
  <c r="G22" i="1"/>
  <c r="F22" i="1"/>
  <c r="G21" i="1"/>
  <c r="F21" i="1"/>
  <c r="G3" i="1"/>
  <c r="G4" i="1"/>
  <c r="G6" i="1"/>
  <c r="G13" i="1"/>
  <c r="G14" i="1"/>
  <c r="F20" i="1"/>
  <c r="F19" i="1"/>
  <c r="F18" i="1"/>
  <c r="F17" i="1"/>
  <c r="F16" i="1"/>
  <c r="F15" i="1"/>
  <c r="F14" i="1"/>
  <c r="F13" i="1"/>
  <c r="F12" i="1"/>
  <c r="F11" i="1"/>
  <c r="F10" i="1"/>
  <c r="F9" i="1"/>
  <c r="F8" i="1"/>
  <c r="F7" i="1"/>
  <c r="F6" i="1"/>
  <c r="F5" i="1"/>
  <c r="F4" i="1"/>
  <c r="F3" i="1"/>
  <c r="C10" i="2"/>
  <c r="C2" i="2" l="1"/>
  <c r="C6" i="2"/>
  <c r="C8" i="2"/>
  <c r="C9" i="2"/>
  <c r="C11" i="2"/>
</calcChain>
</file>

<file path=xl/sharedStrings.xml><?xml version="1.0" encoding="utf-8"?>
<sst xmlns="http://schemas.openxmlformats.org/spreadsheetml/2006/main" count="418" uniqueCount="108">
  <si>
    <t>Carbonate</t>
  </si>
  <si>
    <t>Evaporite</t>
  </si>
  <si>
    <t>carb</t>
  </si>
  <si>
    <t>evap</t>
  </si>
  <si>
    <t>prec</t>
  </si>
  <si>
    <t>pyri</t>
  </si>
  <si>
    <t>Precipitation</t>
  </si>
  <si>
    <t>Corg</t>
  </si>
  <si>
    <t>corg</t>
  </si>
  <si>
    <t>Distribution</t>
  </si>
  <si>
    <t>Uniform</t>
  </si>
  <si>
    <t>Ca</t>
  </si>
  <si>
    <t>Mg</t>
  </si>
  <si>
    <t>Na</t>
  </si>
  <si>
    <t>Cl</t>
  </si>
  <si>
    <t>SO4</t>
  </si>
  <si>
    <t>HCO3</t>
  </si>
  <si>
    <t>d34S</t>
  </si>
  <si>
    <t>Sr</t>
  </si>
  <si>
    <t>Re</t>
  </si>
  <si>
    <t>ALK</t>
  </si>
  <si>
    <t>DIC</t>
  </si>
  <si>
    <t>K</t>
  </si>
  <si>
    <t>Nature</t>
  </si>
  <si>
    <t>Min</t>
  </si>
  <si>
    <t>Max</t>
  </si>
  <si>
    <t>VariableNameForMatlab</t>
  </si>
  <si>
    <t>SumObs</t>
  </si>
  <si>
    <t>Sr8786</t>
  </si>
  <si>
    <t>d26Mg</t>
  </si>
  <si>
    <t>d44Ca</t>
  </si>
  <si>
    <t>Li</t>
  </si>
  <si>
    <t>d7Li</t>
  </si>
  <si>
    <t>Si</t>
  </si>
  <si>
    <t>d30Si</t>
  </si>
  <si>
    <t>Pyrite</t>
  </si>
  <si>
    <t>Fmod</t>
  </si>
  <si>
    <t>NumeratorVariable</t>
  </si>
  <si>
    <t>Normalization</t>
  </si>
  <si>
    <t>End-member group (add a custom name)</t>
  </si>
  <si>
    <t>IsotopeSystem</t>
  </si>
  <si>
    <t>d13C</t>
  </si>
  <si>
    <t>d18O</t>
  </si>
  <si>
    <t>d42Ca</t>
  </si>
  <si>
    <t>d98Mo</t>
  </si>
  <si>
    <t>Os</t>
  </si>
  <si>
    <t>Values</t>
  </si>
  <si>
    <t>Standard</t>
  </si>
  <si>
    <t>Os8788</t>
  </si>
  <si>
    <t>VCDT</t>
  </si>
  <si>
    <t>Citation</t>
  </si>
  <si>
    <t>VPDB</t>
  </si>
  <si>
    <t>VSMOW</t>
  </si>
  <si>
    <t>LSVEC</t>
  </si>
  <si>
    <t>DSM-3</t>
  </si>
  <si>
    <t>Table 4 of Bizzarro et al. (2011), J. Anal. At. Spectrom, "High-precision Mg-isotope measurements of terrestrial and extraterrestrial material by HR-MC-ICPMS—implications for the relative and absolute Mg-isotope composition of the bulk silicate Earth"</t>
  </si>
  <si>
    <t>Abstract of Ding et al. (2001), GCA, "Calibrated sulfur isotope abundance ratios of three IAEA sulfur isotope reference materials and V-CDT with a reassessment of the atomic weight of sulfur"</t>
  </si>
  <si>
    <t>Chang &amp; Li (1990), Chin. Sci. Bull, "A calibrated measurement of the atomic weight of carbon" reported in Table 1 of Daëron et al. (2016), Chemical Geology, "Absolute isotopic abundance ratios and the accuracy of D47 measurements"</t>
  </si>
  <si>
    <t>Baertschi (1976), Earth Planet. Sci. Lett., "Absolute 18O content of standard mean ocean water" reported in Table 1 of Daëron et al. (2016), Chemical Geology, "Absolute isotopic abundance ratios and the accuracy of D47 measurements"</t>
  </si>
  <si>
    <t>NBS-28</t>
  </si>
  <si>
    <t>Table 3 of Valkiers et al. (2005), International Journal of Mass Spectrometry, "Silicon isotope amount ratios and molar masses for two silicon isotope reference materials: IRMM-018a and NBS28"</t>
  </si>
  <si>
    <t>NIST SRM 915a</t>
  </si>
  <si>
    <t>Using the 40/44 ratio of 46.480 for NIST SRM 915 in Table 2 of Moore &amp; Machlan (1972) with the 0.17‰ d44Ca value of NIST SRM 915 relative to NIST SRM915a reported in Brand et al. (2014). Moore &amp; Machlan (1972), Analytical Chemistry, "High Accuracy Determination of Calcium in Blood Serum by Isotope Dilution Mass Spectrometry" and Brand et al. (2014), IUPAC Technical Report, "Assessment of international reference materials for isotope-ratio analysis"</t>
  </si>
  <si>
    <t>Calculated from the Qi et al. (1997) value of IRMM-016 having a n(6Li)/n(7Li) ratio of 0.08212 (given in abstract), and the IUPAC website listing IRMM-016 being 0.14‰ relative to LSVEC. Qi et al. (1997), International Journal of Mass Spectrometry and Ion Processes, "Calibrated measurements of the isotopic composition and atomic weight of the natural Li isotopic reference material IRMM-016"</t>
  </si>
  <si>
    <t>IsotopeRatio</t>
  </si>
  <si>
    <t>7Li/6Li</t>
  </si>
  <si>
    <t>13C/12C</t>
  </si>
  <si>
    <t>18O/16O</t>
  </si>
  <si>
    <t>26Mg/24Mg</t>
  </si>
  <si>
    <t>30Si/28Si</t>
  </si>
  <si>
    <t>34S/32S</t>
  </si>
  <si>
    <t>44Ca/40Ca</t>
  </si>
  <si>
    <t>44Ca/42Ca</t>
  </si>
  <si>
    <t>Using the 42/44 ratio of 0.3104 for NIST SRM 915 in Table 2 of Moore &amp; Machlan (1972) with the 0.085‰ d44Ca value of NIST SRM 915 relative to NIST SRM915a reported in Brand et al. (2014). Moore &amp; Machlan (1972), Analytical Chemistry, "High Accuracy Determination of Calcium in Blood Serum by Isotope Dilution Mass Spectrometry" and Brand et al. (2014), IUPAC Technical Report, "Assessment of international reference materials for isotope-ratio analysis"</t>
  </si>
  <si>
    <t>98Mo/95Mo</t>
  </si>
  <si>
    <t>NIST SRM 3134</t>
  </si>
  <si>
    <t>Ratio of values given in the abstract of Mayer &amp; Wiser (2014), J. Anal. At. Spectrom, "The absolute isotopic composition and atomic weight of molybdenum in SRM 3134 using an isotopic double-spike"</t>
  </si>
  <si>
    <t>Variable</t>
  </si>
  <si>
    <t>ConversionFactor</t>
  </si>
  <si>
    <t>NO3</t>
  </si>
  <si>
    <t>Charge</t>
  </si>
  <si>
    <t>negative</t>
  </si>
  <si>
    <t>neutral</t>
  </si>
  <si>
    <t>positive</t>
  </si>
  <si>
    <t>PO4</t>
  </si>
  <si>
    <t>Ge</t>
  </si>
  <si>
    <t>F</t>
  </si>
  <si>
    <t>B</t>
  </si>
  <si>
    <t>Mo</t>
  </si>
  <si>
    <t>Fe</t>
  </si>
  <si>
    <t>d56Fe</t>
  </si>
  <si>
    <t>56Fe/54Fe</t>
  </si>
  <si>
    <t>IRMM-014</t>
  </si>
  <si>
    <t xml:space="preserve">From Table 7 of In Taylor, Philip D. P.; Maeck, R.; De Bièvre, Paul (1992). "Determination of the absolute isotopic composition and Atomic Weight of a reference sample of natural iron". International Journal of Mass Spectrometry and Ion Processes. 121 (1–2): 111–125. </t>
  </si>
  <si>
    <t>slct_Ca</t>
  </si>
  <si>
    <t>slct_Mg</t>
  </si>
  <si>
    <t>slct_Na</t>
  </si>
  <si>
    <t>slct_K</t>
  </si>
  <si>
    <t>degassing</t>
  </si>
  <si>
    <t>degas</t>
  </si>
  <si>
    <t>frac#-7.6</t>
  </si>
  <si>
    <t>frac#-20</t>
  </si>
  <si>
    <t>frac#-0</t>
  </si>
  <si>
    <t>frac#-10.1</t>
  </si>
  <si>
    <t>frac#0</t>
  </si>
  <si>
    <t>PCK23_Alaska_SumCatSO4DIC_uniform</t>
  </si>
  <si>
    <t>PCK23_Alaska_SumCatSO4DIC_uniform_highfrac</t>
  </si>
  <si>
    <t>PCK23_Alaska_SumCatSO4DIC_uniform_lowfrac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</si>
</sst>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name val="Calibri"/>
      <family val="2"/>
      <scheme val="minor"/>
    </font>
    <font>
      <b/>
      <sz val="12"/>
      <color theme="1"/>
      <name val="Calibri"/>
      <family val="2"/>
      <scheme val="minor"/>
    </font>
    <font>
      <b/>
      <sz val="12"/>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rgb="FFFCE4D6"/>
        <bgColor rgb="FF000000"/>
      </patternFill>
    </fill>
    <fill>
      <patternFill patternType="solid">
        <fgColor theme="9" tint="0.79998168889431442"/>
        <bgColor rgb="FF000000"/>
      </patternFill>
    </fill>
    <fill>
      <patternFill patternType="solid">
        <fgColor theme="8" tint="0.79998168889431442"/>
        <bgColor rgb="FF000000"/>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85">
    <xf numFmtId="0" fontId="0" fillId="0" borderId="0" xfId="0"/>
    <xf numFmtId="0" fontId="0" fillId="0" borderId="0" xfId="0" applyAlignment="1">
      <alignment horizontal="left"/>
    </xf>
    <xf numFmtId="0" fontId="0" fillId="3" borderId="2" xfId="0" applyFill="1" applyBorder="1" applyAlignment="1">
      <alignment horizontal="left"/>
    </xf>
    <xf numFmtId="0" fontId="0" fillId="3" borderId="0" xfId="0" applyFill="1" applyAlignment="1">
      <alignment horizontal="left"/>
    </xf>
    <xf numFmtId="0" fontId="0" fillId="4" borderId="4" xfId="0" applyFill="1" applyBorder="1" applyAlignment="1">
      <alignment horizontal="left"/>
    </xf>
    <xf numFmtId="0" fontId="0" fillId="4" borderId="0" xfId="0" applyFill="1" applyAlignment="1">
      <alignment horizontal="left"/>
    </xf>
    <xf numFmtId="0" fontId="6" fillId="5" borderId="1" xfId="0" applyFont="1" applyFill="1" applyBorder="1" applyAlignment="1">
      <alignment horizontal="left"/>
    </xf>
    <xf numFmtId="0" fontId="6" fillId="5" borderId="3" xfId="0" applyFont="1" applyFill="1" applyBorder="1" applyAlignment="1">
      <alignment horizontal="left"/>
    </xf>
    <xf numFmtId="0" fontId="6" fillId="5" borderId="2" xfId="0" applyFont="1" applyFill="1" applyBorder="1" applyAlignment="1">
      <alignment horizontal="left"/>
    </xf>
    <xf numFmtId="0" fontId="0" fillId="2" borderId="0" xfId="0" applyFill="1" applyAlignment="1">
      <alignment horizontal="left"/>
    </xf>
    <xf numFmtId="0" fontId="0" fillId="2" borderId="7" xfId="0" applyFill="1" applyBorder="1" applyAlignment="1">
      <alignment horizontal="left"/>
    </xf>
    <xf numFmtId="0" fontId="0" fillId="3" borderId="6" xfId="0" applyFill="1" applyBorder="1" applyAlignment="1">
      <alignment horizontal="left"/>
    </xf>
    <xf numFmtId="0" fontId="0" fillId="3" borderId="7" xfId="0" applyFill="1" applyBorder="1" applyAlignment="1">
      <alignment horizontal="left"/>
    </xf>
    <xf numFmtId="0" fontId="0" fillId="4" borderId="1" xfId="0" applyFill="1" applyBorder="1" applyAlignment="1">
      <alignment horizontal="left"/>
    </xf>
    <xf numFmtId="0" fontId="0" fillId="4" borderId="2" xfId="0" applyFill="1" applyBorder="1" applyAlignment="1">
      <alignment horizontal="left"/>
    </xf>
    <xf numFmtId="0" fontId="0" fillId="2" borderId="2" xfId="0" applyFill="1" applyBorder="1" applyAlignment="1">
      <alignment horizontal="left"/>
    </xf>
    <xf numFmtId="164" fontId="0" fillId="3" borderId="0" xfId="0" applyNumberFormat="1" applyFill="1" applyAlignment="1">
      <alignment horizontal="left"/>
    </xf>
    <xf numFmtId="0" fontId="0" fillId="4" borderId="6" xfId="0" applyFill="1" applyBorder="1" applyAlignment="1">
      <alignment horizontal="left"/>
    </xf>
    <xf numFmtId="0" fontId="0" fillId="4" borderId="7" xfId="0" applyFill="1" applyBorder="1" applyAlignment="1">
      <alignment horizontal="left"/>
    </xf>
    <xf numFmtId="0" fontId="6" fillId="5" borderId="0" xfId="0" applyFont="1" applyFill="1" applyAlignment="1">
      <alignment horizontal="left"/>
    </xf>
    <xf numFmtId="164" fontId="0" fillId="4" borderId="2" xfId="0" applyNumberFormat="1" applyFill="1" applyBorder="1" applyAlignment="1">
      <alignment horizontal="left"/>
    </xf>
    <xf numFmtId="164" fontId="0" fillId="4" borderId="0" xfId="0" applyNumberFormat="1" applyFill="1" applyAlignment="1">
      <alignment horizontal="left"/>
    </xf>
    <xf numFmtId="164" fontId="0" fillId="4" borderId="7" xfId="0" applyNumberFormat="1" applyFill="1" applyBorder="1" applyAlignment="1">
      <alignment horizontal="left"/>
    </xf>
    <xf numFmtId="0" fontId="0" fillId="3" borderId="1" xfId="0" applyFill="1" applyBorder="1" applyAlignment="1">
      <alignment horizontal="left"/>
    </xf>
    <xf numFmtId="0" fontId="0" fillId="3" borderId="4" xfId="0" applyFill="1" applyBorder="1" applyAlignment="1">
      <alignment horizontal="left"/>
    </xf>
    <xf numFmtId="164" fontId="0" fillId="3" borderId="7" xfId="0" applyNumberFormat="1" applyFill="1" applyBorder="1" applyAlignment="1">
      <alignment horizontal="left"/>
    </xf>
    <xf numFmtId="164" fontId="0" fillId="2" borderId="0" xfId="0" applyNumberFormat="1" applyFill="1" applyAlignment="1">
      <alignment horizontal="left"/>
    </xf>
    <xf numFmtId="0" fontId="0" fillId="4" borderId="10" xfId="0" applyFill="1" applyBorder="1" applyAlignment="1">
      <alignment horizontal="left"/>
    </xf>
    <xf numFmtId="0" fontId="0" fillId="4" borderId="9" xfId="0" applyFill="1" applyBorder="1" applyAlignment="1">
      <alignment horizontal="left"/>
    </xf>
    <xf numFmtId="0" fontId="0" fillId="4" borderId="11" xfId="0" applyFill="1" applyBorder="1" applyAlignment="1">
      <alignment horizontal="left"/>
    </xf>
    <xf numFmtId="0" fontId="0" fillId="3" borderId="10" xfId="0" applyFill="1" applyBorder="1" applyAlignment="1">
      <alignment horizontal="left"/>
    </xf>
    <xf numFmtId="0" fontId="0" fillId="3" borderId="9" xfId="0" applyFill="1" applyBorder="1" applyAlignment="1">
      <alignment horizontal="left"/>
    </xf>
    <xf numFmtId="0" fontId="0" fillId="3" borderId="11" xfId="0" applyFill="1" applyBorder="1" applyAlignment="1">
      <alignment horizontal="left"/>
    </xf>
    <xf numFmtId="0" fontId="0" fillId="2" borderId="9" xfId="0" applyFill="1" applyBorder="1" applyAlignment="1">
      <alignment horizontal="left"/>
    </xf>
    <xf numFmtId="0" fontId="0" fillId="2" borderId="11" xfId="0" applyFill="1" applyBorder="1" applyAlignment="1">
      <alignment horizontal="left"/>
    </xf>
    <xf numFmtId="0" fontId="0" fillId="2" borderId="10" xfId="0" applyFill="1" applyBorder="1" applyAlignment="1">
      <alignment horizontal="left"/>
    </xf>
    <xf numFmtId="0" fontId="6" fillId="5" borderId="4" xfId="0" applyFont="1" applyFill="1" applyBorder="1" applyAlignment="1">
      <alignment horizontal="left"/>
    </xf>
    <xf numFmtId="164" fontId="0" fillId="2" borderId="2" xfId="0" applyNumberFormat="1" applyFill="1" applyBorder="1" applyAlignment="1">
      <alignment horizontal="left"/>
    </xf>
    <xf numFmtId="164" fontId="0" fillId="2" borderId="7" xfId="0" applyNumberFormat="1" applyFill="1" applyBorder="1" applyAlignment="1">
      <alignment horizontal="left"/>
    </xf>
    <xf numFmtId="0" fontId="0" fillId="2" borderId="1" xfId="0" applyFill="1" applyBorder="1" applyAlignment="1">
      <alignment horizontal="left"/>
    </xf>
    <xf numFmtId="0" fontId="0" fillId="2" borderId="4" xfId="0" applyFill="1" applyBorder="1" applyAlignment="1">
      <alignment horizontal="left"/>
    </xf>
    <xf numFmtId="0" fontId="0" fillId="2" borderId="6" xfId="0" applyFill="1" applyBorder="1" applyAlignment="1">
      <alignment horizontal="left"/>
    </xf>
    <xf numFmtId="0" fontId="5" fillId="6" borderId="12" xfId="0" applyFont="1" applyFill="1" applyBorder="1" applyAlignment="1">
      <alignment horizontal="left"/>
    </xf>
    <xf numFmtId="0" fontId="5" fillId="6" borderId="13" xfId="0" applyFont="1" applyFill="1" applyBorder="1" applyAlignment="1">
      <alignment horizontal="left"/>
    </xf>
    <xf numFmtId="0" fontId="5" fillId="6" borderId="14" xfId="0" applyFont="1" applyFill="1"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5" fillId="6" borderId="12" xfId="0" applyFont="1" applyFill="1" applyBorder="1"/>
    <xf numFmtId="0" fontId="5" fillId="6" borderId="13" xfId="0" applyFont="1" applyFill="1" applyBorder="1"/>
    <xf numFmtId="0" fontId="0" fillId="6" borderId="13" xfId="0" applyFill="1" applyBorder="1"/>
    <xf numFmtId="0" fontId="0" fillId="6" borderId="14" xfId="0" applyFill="1" applyBorder="1"/>
    <xf numFmtId="0" fontId="6" fillId="5" borderId="6" xfId="0" applyFont="1" applyFill="1" applyBorder="1" applyAlignment="1">
      <alignment horizontal="left"/>
    </xf>
    <xf numFmtId="0" fontId="6" fillId="5" borderId="7" xfId="0" applyFont="1" applyFill="1" applyBorder="1" applyAlignment="1">
      <alignment horizontal="left"/>
    </xf>
    <xf numFmtId="0" fontId="6" fillId="5" borderId="8" xfId="0" applyFont="1" applyFill="1" applyBorder="1" applyAlignment="1">
      <alignment horizontal="left"/>
    </xf>
    <xf numFmtId="0" fontId="0" fillId="3" borderId="5" xfId="0" applyFill="1" applyBorder="1" applyAlignment="1">
      <alignment horizontal="left"/>
    </xf>
    <xf numFmtId="0" fontId="0" fillId="3" borderId="8" xfId="0" applyFill="1" applyBorder="1" applyAlignment="1">
      <alignment horizontal="left"/>
    </xf>
    <xf numFmtId="0" fontId="3" fillId="7" borderId="0" xfId="0" applyFont="1" applyFill="1" applyAlignment="1">
      <alignment horizontal="left"/>
    </xf>
    <xf numFmtId="2" fontId="0" fillId="3" borderId="0" xfId="0" applyNumberFormat="1" applyFill="1" applyAlignment="1">
      <alignment horizontal="left"/>
    </xf>
    <xf numFmtId="2" fontId="0" fillId="3" borderId="7" xfId="0" applyNumberFormat="1" applyFill="1" applyBorder="1" applyAlignment="1">
      <alignment horizontal="left"/>
    </xf>
    <xf numFmtId="2" fontId="0" fillId="2" borderId="2" xfId="0" applyNumberFormat="1" applyFill="1" applyBorder="1" applyAlignment="1">
      <alignment horizontal="left"/>
    </xf>
    <xf numFmtId="0" fontId="0" fillId="2" borderId="3" xfId="0" applyFill="1" applyBorder="1" applyAlignment="1">
      <alignment horizontal="left"/>
    </xf>
    <xf numFmtId="2" fontId="0" fillId="2" borderId="0" xfId="0" applyNumberFormat="1" applyFill="1" applyAlignment="1">
      <alignment horizontal="left"/>
    </xf>
    <xf numFmtId="0" fontId="0" fillId="2" borderId="5" xfId="0" applyFill="1" applyBorder="1" applyAlignment="1">
      <alignment horizontal="left"/>
    </xf>
    <xf numFmtId="0" fontId="3" fillId="8" borderId="0" xfId="0" applyFont="1" applyFill="1" applyAlignment="1">
      <alignment horizontal="left"/>
    </xf>
    <xf numFmtId="2" fontId="0" fillId="2" borderId="7" xfId="0" applyNumberFormat="1" applyFill="1" applyBorder="1" applyAlignment="1">
      <alignment horizontal="left"/>
    </xf>
    <xf numFmtId="0" fontId="0" fillId="2" borderId="8" xfId="0" applyFill="1" applyBorder="1" applyAlignment="1">
      <alignment horizontal="left"/>
    </xf>
    <xf numFmtId="2" fontId="0" fillId="4" borderId="2" xfId="0" applyNumberFormat="1" applyFill="1" applyBorder="1" applyAlignment="1">
      <alignment horizontal="left"/>
    </xf>
    <xf numFmtId="0" fontId="0" fillId="4" borderId="3" xfId="0" applyFill="1" applyBorder="1" applyAlignment="1">
      <alignment horizontal="left"/>
    </xf>
    <xf numFmtId="2" fontId="0" fillId="4" borderId="0" xfId="0" applyNumberFormat="1" applyFill="1" applyAlignment="1">
      <alignment horizontal="left"/>
    </xf>
    <xf numFmtId="0" fontId="0" fillId="4" borderId="5" xfId="0" applyFill="1" applyBorder="1" applyAlignment="1">
      <alignment horizontal="left"/>
    </xf>
    <xf numFmtId="0" fontId="3" fillId="9" borderId="0" xfId="0" applyFont="1" applyFill="1" applyAlignment="1">
      <alignment horizontal="left"/>
    </xf>
    <xf numFmtId="2" fontId="0" fillId="4" borderId="7" xfId="0" applyNumberFormat="1" applyFill="1" applyBorder="1" applyAlignment="1">
      <alignment horizontal="left"/>
    </xf>
    <xf numFmtId="0" fontId="0" fillId="4" borderId="8" xfId="0" applyFill="1" applyBorder="1" applyAlignment="1">
      <alignment horizontal="left"/>
    </xf>
    <xf numFmtId="0" fontId="4" fillId="5" borderId="4" xfId="0" applyFont="1" applyFill="1" applyBorder="1" applyAlignment="1">
      <alignment horizontal="left"/>
    </xf>
    <xf numFmtId="2" fontId="0" fillId="3" borderId="0" xfId="0" applyNumberFormat="1" applyFill="1" applyBorder="1" applyAlignment="1">
      <alignment horizontal="left"/>
    </xf>
    <xf numFmtId="0" fontId="0" fillId="3" borderId="0" xfId="0" applyFill="1" applyBorder="1" applyAlignment="1">
      <alignment horizontal="left"/>
    </xf>
    <xf numFmtId="164" fontId="0" fillId="3" borderId="0" xfId="0" applyNumberFormat="1" applyFill="1" applyBorder="1" applyAlignment="1">
      <alignment horizontal="left"/>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customXml" Target="../ink/ink11.xml"/><Relationship Id="rId18" Type="http://schemas.openxmlformats.org/officeDocument/2006/relationships/customXml" Target="../ink/ink16.xml"/><Relationship Id="rId26" Type="http://schemas.openxmlformats.org/officeDocument/2006/relationships/customXml" Target="../ink/ink24.xml"/><Relationship Id="rId39" Type="http://schemas.openxmlformats.org/officeDocument/2006/relationships/customXml" Target="../ink/ink37.xml"/><Relationship Id="rId21" Type="http://schemas.openxmlformats.org/officeDocument/2006/relationships/customXml" Target="../ink/ink19.xml"/><Relationship Id="rId34" Type="http://schemas.openxmlformats.org/officeDocument/2006/relationships/customXml" Target="../ink/ink32.xml"/><Relationship Id="rId42" Type="http://schemas.openxmlformats.org/officeDocument/2006/relationships/customXml" Target="../ink/ink40.xml"/><Relationship Id="rId47" Type="http://schemas.openxmlformats.org/officeDocument/2006/relationships/customXml" Target="../ink/ink45.xml"/><Relationship Id="rId50" Type="http://schemas.openxmlformats.org/officeDocument/2006/relationships/customXml" Target="../ink/ink48.xml"/><Relationship Id="rId55" Type="http://schemas.openxmlformats.org/officeDocument/2006/relationships/customXml" Target="../ink/ink53.xml"/><Relationship Id="rId7" Type="http://schemas.openxmlformats.org/officeDocument/2006/relationships/customXml" Target="../ink/ink5.xml"/><Relationship Id="rId2" Type="http://schemas.openxmlformats.org/officeDocument/2006/relationships/image" Target="../media/image1.png"/><Relationship Id="rId16" Type="http://schemas.openxmlformats.org/officeDocument/2006/relationships/customXml" Target="../ink/ink14.xml"/><Relationship Id="rId29" Type="http://schemas.openxmlformats.org/officeDocument/2006/relationships/customXml" Target="../ink/ink27.xml"/><Relationship Id="rId11" Type="http://schemas.openxmlformats.org/officeDocument/2006/relationships/customXml" Target="../ink/ink9.xml"/><Relationship Id="rId24" Type="http://schemas.openxmlformats.org/officeDocument/2006/relationships/customXml" Target="../ink/ink22.xml"/><Relationship Id="rId32" Type="http://schemas.openxmlformats.org/officeDocument/2006/relationships/customXml" Target="../ink/ink30.xml"/><Relationship Id="rId37" Type="http://schemas.openxmlformats.org/officeDocument/2006/relationships/customXml" Target="../ink/ink35.xml"/><Relationship Id="rId40" Type="http://schemas.openxmlformats.org/officeDocument/2006/relationships/customXml" Target="../ink/ink38.xml"/><Relationship Id="rId45" Type="http://schemas.openxmlformats.org/officeDocument/2006/relationships/customXml" Target="../ink/ink43.xml"/><Relationship Id="rId53" Type="http://schemas.openxmlformats.org/officeDocument/2006/relationships/customXml" Target="../ink/ink51.xml"/><Relationship Id="rId5" Type="http://schemas.openxmlformats.org/officeDocument/2006/relationships/image" Target="../media/image2.png"/><Relationship Id="rId10" Type="http://schemas.openxmlformats.org/officeDocument/2006/relationships/customXml" Target="../ink/ink8.xml"/><Relationship Id="rId19" Type="http://schemas.openxmlformats.org/officeDocument/2006/relationships/customXml" Target="../ink/ink17.xml"/><Relationship Id="rId31" Type="http://schemas.openxmlformats.org/officeDocument/2006/relationships/customXml" Target="../ink/ink29.xml"/><Relationship Id="rId44" Type="http://schemas.openxmlformats.org/officeDocument/2006/relationships/customXml" Target="../ink/ink42.xml"/><Relationship Id="rId52" Type="http://schemas.openxmlformats.org/officeDocument/2006/relationships/customXml" Target="../ink/ink50.xml"/><Relationship Id="rId4" Type="http://schemas.openxmlformats.org/officeDocument/2006/relationships/customXml" Target="../ink/ink3.xml"/><Relationship Id="rId9" Type="http://schemas.openxmlformats.org/officeDocument/2006/relationships/customXml" Target="../ink/ink7.xml"/><Relationship Id="rId14" Type="http://schemas.openxmlformats.org/officeDocument/2006/relationships/customXml" Target="../ink/ink12.xml"/><Relationship Id="rId22" Type="http://schemas.openxmlformats.org/officeDocument/2006/relationships/customXml" Target="../ink/ink20.xml"/><Relationship Id="rId27" Type="http://schemas.openxmlformats.org/officeDocument/2006/relationships/customXml" Target="../ink/ink25.xml"/><Relationship Id="rId30" Type="http://schemas.openxmlformats.org/officeDocument/2006/relationships/customXml" Target="../ink/ink28.xml"/><Relationship Id="rId35" Type="http://schemas.openxmlformats.org/officeDocument/2006/relationships/customXml" Target="../ink/ink33.xml"/><Relationship Id="rId43" Type="http://schemas.openxmlformats.org/officeDocument/2006/relationships/customXml" Target="../ink/ink41.xml"/><Relationship Id="rId48" Type="http://schemas.openxmlformats.org/officeDocument/2006/relationships/customXml" Target="../ink/ink46.xml"/><Relationship Id="rId56" Type="http://schemas.openxmlformats.org/officeDocument/2006/relationships/customXml" Target="../ink/ink54.xml"/><Relationship Id="rId8" Type="http://schemas.openxmlformats.org/officeDocument/2006/relationships/customXml" Target="../ink/ink6.xml"/><Relationship Id="rId51" Type="http://schemas.openxmlformats.org/officeDocument/2006/relationships/customXml" Target="../ink/ink49.xml"/><Relationship Id="rId3" Type="http://schemas.openxmlformats.org/officeDocument/2006/relationships/customXml" Target="../ink/ink2.xml"/><Relationship Id="rId12" Type="http://schemas.openxmlformats.org/officeDocument/2006/relationships/customXml" Target="../ink/ink10.xml"/><Relationship Id="rId17" Type="http://schemas.openxmlformats.org/officeDocument/2006/relationships/customXml" Target="../ink/ink15.xml"/><Relationship Id="rId25" Type="http://schemas.openxmlformats.org/officeDocument/2006/relationships/customXml" Target="../ink/ink23.xml"/><Relationship Id="rId33" Type="http://schemas.openxmlformats.org/officeDocument/2006/relationships/customXml" Target="../ink/ink31.xml"/><Relationship Id="rId38" Type="http://schemas.openxmlformats.org/officeDocument/2006/relationships/customXml" Target="../ink/ink36.xml"/><Relationship Id="rId46" Type="http://schemas.openxmlformats.org/officeDocument/2006/relationships/customXml" Target="../ink/ink44.xml"/><Relationship Id="rId20" Type="http://schemas.openxmlformats.org/officeDocument/2006/relationships/customXml" Target="../ink/ink18.xml"/><Relationship Id="rId41" Type="http://schemas.openxmlformats.org/officeDocument/2006/relationships/customXml" Target="../ink/ink39.xml"/><Relationship Id="rId54" Type="http://schemas.openxmlformats.org/officeDocument/2006/relationships/customXml" Target="../ink/ink52.xml"/><Relationship Id="rId1" Type="http://schemas.openxmlformats.org/officeDocument/2006/relationships/customXml" Target="../ink/ink1.xml"/><Relationship Id="rId6" Type="http://schemas.openxmlformats.org/officeDocument/2006/relationships/customXml" Target="../ink/ink4.xml"/><Relationship Id="rId15" Type="http://schemas.openxmlformats.org/officeDocument/2006/relationships/customXml" Target="../ink/ink13.xml"/><Relationship Id="rId23" Type="http://schemas.openxmlformats.org/officeDocument/2006/relationships/customXml" Target="../ink/ink21.xml"/><Relationship Id="rId28" Type="http://schemas.openxmlformats.org/officeDocument/2006/relationships/customXml" Target="../ink/ink26.xml"/><Relationship Id="rId36" Type="http://schemas.openxmlformats.org/officeDocument/2006/relationships/customXml" Target="../ink/ink34.xml"/><Relationship Id="rId49" Type="http://schemas.openxmlformats.org/officeDocument/2006/relationships/customXml" Target="../ink/ink47.xml"/></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20</xdr:row>
      <xdr:rowOff>0</xdr:rowOff>
    </xdr:from>
    <xdr:to>
      <xdr:col>14</xdr:col>
      <xdr:colOff>360</xdr:colOff>
      <xdr:row>20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0000-000002000000}"/>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twoCellAnchor>
  <xdr:twoCellAnchor editAs="oneCell">
    <xdr:from>
      <xdr:col>14</xdr:col>
      <xdr:colOff>0</xdr:colOff>
      <xdr:row>20</xdr:row>
      <xdr:rowOff>0</xdr:rowOff>
    </xdr:from>
    <xdr:to>
      <xdr:col>14</xdr:col>
      <xdr:colOff>360</xdr:colOff>
      <xdr:row>20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0000000-0008-0000-0000-000003000000}"/>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twoCellAnchor>
  <xdr:twoCellAnchor editAs="oneCell">
    <xdr:from>
      <xdr:col>14</xdr:col>
      <xdr:colOff>0</xdr:colOff>
      <xdr:row>20</xdr:row>
      <xdr:rowOff>0</xdr:rowOff>
    </xdr:from>
    <xdr:to>
      <xdr:col>14</xdr:col>
      <xdr:colOff>360</xdr:colOff>
      <xdr:row>20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00000000-0008-0000-0000-000004000000}"/>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twoCellAnchor>
  <xdr:twoCellAnchor editAs="oneCell">
    <xdr:from>
      <xdr:col>14</xdr:col>
      <xdr:colOff>0</xdr:colOff>
      <xdr:row>20</xdr:row>
      <xdr:rowOff>0</xdr:rowOff>
    </xdr:from>
    <xdr:to>
      <xdr:col>14</xdr:col>
      <xdr:colOff>360</xdr:colOff>
      <xdr:row>20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Ink 4">
              <a:extLst>
                <a:ext uri="{FF2B5EF4-FFF2-40B4-BE49-F238E27FC236}">
                  <a16:creationId xmlns:a16="http://schemas.microsoft.com/office/drawing/2014/main" id="{00000000-0008-0000-0000-000005000000}"/>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two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2E5E9E61-7AB6-7849-AC62-95603997C036}"/>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B94710F5-CEB8-954E-B26C-D044DF59D5E4}"/>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Ink 7">
              <a:extLst>
                <a:ext uri="{FF2B5EF4-FFF2-40B4-BE49-F238E27FC236}">
                  <a16:creationId xmlns:a16="http://schemas.microsoft.com/office/drawing/2014/main" id="{216F7256-77C6-9343-AE4B-4E0ED845A0E6}"/>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 name="Ink 8">
              <a:extLst>
                <a:ext uri="{FF2B5EF4-FFF2-40B4-BE49-F238E27FC236}">
                  <a16:creationId xmlns:a16="http://schemas.microsoft.com/office/drawing/2014/main" id="{E8AEB10F-F38A-2846-917B-15E9B7CD4BBE}"/>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0" name="Ink 9">
              <a:extLst>
                <a:ext uri="{FF2B5EF4-FFF2-40B4-BE49-F238E27FC236}">
                  <a16:creationId xmlns:a16="http://schemas.microsoft.com/office/drawing/2014/main" id="{EAF8013F-935F-D94E-BBA9-7284726F4164}"/>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1" name="Ink 10">
              <a:extLst>
                <a:ext uri="{FF2B5EF4-FFF2-40B4-BE49-F238E27FC236}">
                  <a16:creationId xmlns:a16="http://schemas.microsoft.com/office/drawing/2014/main" id="{BB75B726-3C5A-404F-BDBC-4334656D4C87}"/>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2" name="Ink 11">
              <a:extLst>
                <a:ext uri="{FF2B5EF4-FFF2-40B4-BE49-F238E27FC236}">
                  <a16:creationId xmlns:a16="http://schemas.microsoft.com/office/drawing/2014/main" id="{15CA610E-FFE6-7F43-8E2C-181B16DDBBB4}"/>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3" name="Ink 12">
              <a:extLst>
                <a:ext uri="{FF2B5EF4-FFF2-40B4-BE49-F238E27FC236}">
                  <a16:creationId xmlns:a16="http://schemas.microsoft.com/office/drawing/2014/main" id="{C61F157B-2DBE-B645-8D69-FEA79F926958}"/>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4" name="Ink 13">
              <a:extLst>
                <a:ext uri="{FF2B5EF4-FFF2-40B4-BE49-F238E27FC236}">
                  <a16:creationId xmlns:a16="http://schemas.microsoft.com/office/drawing/2014/main" id="{91C2BBA4-E8F2-9E4C-8807-00E10E3C551A}"/>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51ACF644-CC86-E344-B00B-930E27CF353D}"/>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6" name="Ink 15">
              <a:extLst>
                <a:ext uri="{FF2B5EF4-FFF2-40B4-BE49-F238E27FC236}">
                  <a16:creationId xmlns:a16="http://schemas.microsoft.com/office/drawing/2014/main" id="{1B096EAE-DB0C-2B42-915A-B58FDF9635EE}"/>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7" name="Ink 16">
              <a:extLst>
                <a:ext uri="{FF2B5EF4-FFF2-40B4-BE49-F238E27FC236}">
                  <a16:creationId xmlns:a16="http://schemas.microsoft.com/office/drawing/2014/main" id="{F522B84F-79A8-4D43-A9C1-3886AB1FD5AA}"/>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8" name="Ink 17">
              <a:extLst>
                <a:ext uri="{FF2B5EF4-FFF2-40B4-BE49-F238E27FC236}">
                  <a16:creationId xmlns:a16="http://schemas.microsoft.com/office/drawing/2014/main" id="{74C307EB-E3C2-FB45-8405-FDF68940A213}"/>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9" name="Ink 18">
              <a:extLst>
                <a:ext uri="{FF2B5EF4-FFF2-40B4-BE49-F238E27FC236}">
                  <a16:creationId xmlns:a16="http://schemas.microsoft.com/office/drawing/2014/main" id="{C076E1CF-50E3-5145-9611-4EED334CE86F}"/>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0" name="Ink 19">
              <a:extLst>
                <a:ext uri="{FF2B5EF4-FFF2-40B4-BE49-F238E27FC236}">
                  <a16:creationId xmlns:a16="http://schemas.microsoft.com/office/drawing/2014/main" id="{F0B48B7A-D263-B943-9ABA-36916D72A5D7}"/>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1" name="Ink 20">
              <a:extLst>
                <a:ext uri="{FF2B5EF4-FFF2-40B4-BE49-F238E27FC236}">
                  <a16:creationId xmlns:a16="http://schemas.microsoft.com/office/drawing/2014/main" id="{E6252A25-DA80-404C-9AE4-EC87D065C1E5}"/>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2" name="Ink 21">
              <a:extLst>
                <a:ext uri="{FF2B5EF4-FFF2-40B4-BE49-F238E27FC236}">
                  <a16:creationId xmlns:a16="http://schemas.microsoft.com/office/drawing/2014/main" id="{0FCCB61C-1154-5044-A06F-CDF8954A7934}"/>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18F3989-6CC0-524B-8729-292C4A2C10A1}"/>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4" name="Ink 23">
              <a:extLst>
                <a:ext uri="{FF2B5EF4-FFF2-40B4-BE49-F238E27FC236}">
                  <a16:creationId xmlns:a16="http://schemas.microsoft.com/office/drawing/2014/main" id="{1CA958D5-F337-0746-9399-51969A021739}"/>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5" name="Ink 24">
              <a:extLst>
                <a:ext uri="{FF2B5EF4-FFF2-40B4-BE49-F238E27FC236}">
                  <a16:creationId xmlns:a16="http://schemas.microsoft.com/office/drawing/2014/main" id="{BBFA70E4-7C91-134C-899A-41AC36AAE1E1}"/>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6" name="Ink 25">
              <a:extLst>
                <a:ext uri="{FF2B5EF4-FFF2-40B4-BE49-F238E27FC236}">
                  <a16:creationId xmlns:a16="http://schemas.microsoft.com/office/drawing/2014/main" id="{FE0236F8-1AB1-744B-8A65-8F88F92A2033}"/>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7" name="Ink 26">
              <a:extLst>
                <a:ext uri="{FF2B5EF4-FFF2-40B4-BE49-F238E27FC236}">
                  <a16:creationId xmlns:a16="http://schemas.microsoft.com/office/drawing/2014/main" id="{5B979C4C-BB42-A645-93CF-E773A125657E}"/>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8" name="Ink 27">
              <a:extLst>
                <a:ext uri="{FF2B5EF4-FFF2-40B4-BE49-F238E27FC236}">
                  <a16:creationId xmlns:a16="http://schemas.microsoft.com/office/drawing/2014/main" id="{D31D6314-93D8-BA48-9725-B124AD23BD40}"/>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9" name="Ink 28">
              <a:extLst>
                <a:ext uri="{FF2B5EF4-FFF2-40B4-BE49-F238E27FC236}">
                  <a16:creationId xmlns:a16="http://schemas.microsoft.com/office/drawing/2014/main" id="{30727192-66C2-4844-B541-E07548A012E1}"/>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0" name="Ink 29">
              <a:extLst>
                <a:ext uri="{FF2B5EF4-FFF2-40B4-BE49-F238E27FC236}">
                  <a16:creationId xmlns:a16="http://schemas.microsoft.com/office/drawing/2014/main" id="{608D4623-826C-554F-92AE-AF703E546852}"/>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20</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1" name="Ink 30">
              <a:extLst>
                <a:ext uri="{FF2B5EF4-FFF2-40B4-BE49-F238E27FC236}">
                  <a16:creationId xmlns:a16="http://schemas.microsoft.com/office/drawing/2014/main" id="{DE1D0352-762C-7E49-9418-5B495F5E54B0}"/>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2" name="Ink 31">
              <a:extLst>
                <a:ext uri="{FF2B5EF4-FFF2-40B4-BE49-F238E27FC236}">
                  <a16:creationId xmlns:a16="http://schemas.microsoft.com/office/drawing/2014/main" id="{7A5DCD86-CBAC-8243-A288-38DB54EC2D71}"/>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3" name="Ink 32">
              <a:extLst>
                <a:ext uri="{FF2B5EF4-FFF2-40B4-BE49-F238E27FC236}">
                  <a16:creationId xmlns:a16="http://schemas.microsoft.com/office/drawing/2014/main" id="{DA90F659-F7B8-B444-817B-F240ADA79A38}"/>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4" name="Ink 33">
              <a:extLst>
                <a:ext uri="{FF2B5EF4-FFF2-40B4-BE49-F238E27FC236}">
                  <a16:creationId xmlns:a16="http://schemas.microsoft.com/office/drawing/2014/main" id="{2027E22D-E508-344A-A261-891522BB62F0}"/>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5" name="Ink 34">
              <a:extLst>
                <a:ext uri="{FF2B5EF4-FFF2-40B4-BE49-F238E27FC236}">
                  <a16:creationId xmlns:a16="http://schemas.microsoft.com/office/drawing/2014/main" id="{57DEC379-2F9F-ED49-84E3-E131908C3DF2}"/>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6" name="Ink 35">
              <a:extLst>
                <a:ext uri="{FF2B5EF4-FFF2-40B4-BE49-F238E27FC236}">
                  <a16:creationId xmlns:a16="http://schemas.microsoft.com/office/drawing/2014/main" id="{39D96245-8A25-F645-B270-E69EE8B2AB1E}"/>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37" name="Ink 36">
              <a:extLst>
                <a:ext uri="{FF2B5EF4-FFF2-40B4-BE49-F238E27FC236}">
                  <a16:creationId xmlns:a16="http://schemas.microsoft.com/office/drawing/2014/main" id="{B8DFFA23-174A-604E-BBBD-7F940FB42902}"/>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38" name="Ink 37">
              <a:extLst>
                <a:ext uri="{FF2B5EF4-FFF2-40B4-BE49-F238E27FC236}">
                  <a16:creationId xmlns:a16="http://schemas.microsoft.com/office/drawing/2014/main" id="{7D2E69F0-4BBE-BE47-A1CA-D298846A1C52}"/>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39" name="Ink 38">
              <a:extLst>
                <a:ext uri="{FF2B5EF4-FFF2-40B4-BE49-F238E27FC236}">
                  <a16:creationId xmlns:a16="http://schemas.microsoft.com/office/drawing/2014/main" id="{C588813F-1959-2549-BE89-EE5F7C9857EB}"/>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0" name="Ink 39">
              <a:extLst>
                <a:ext uri="{FF2B5EF4-FFF2-40B4-BE49-F238E27FC236}">
                  <a16:creationId xmlns:a16="http://schemas.microsoft.com/office/drawing/2014/main" id="{764D4841-8D29-D045-B420-7A7E459AB756}"/>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41" name="Ink 40">
              <a:extLst>
                <a:ext uri="{FF2B5EF4-FFF2-40B4-BE49-F238E27FC236}">
                  <a16:creationId xmlns:a16="http://schemas.microsoft.com/office/drawing/2014/main" id="{623D02B3-C697-274B-911C-730B7C72E019}"/>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2" name="Ink 41">
              <a:extLst>
                <a:ext uri="{FF2B5EF4-FFF2-40B4-BE49-F238E27FC236}">
                  <a16:creationId xmlns:a16="http://schemas.microsoft.com/office/drawing/2014/main" id="{EAF51562-77B9-034B-AD48-0ED8B84B9541}"/>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43" name="Ink 42">
              <a:extLst>
                <a:ext uri="{FF2B5EF4-FFF2-40B4-BE49-F238E27FC236}">
                  <a16:creationId xmlns:a16="http://schemas.microsoft.com/office/drawing/2014/main" id="{7FD61E5F-C376-694C-B49A-C9800E672280}"/>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44" name="Ink 43">
              <a:extLst>
                <a:ext uri="{FF2B5EF4-FFF2-40B4-BE49-F238E27FC236}">
                  <a16:creationId xmlns:a16="http://schemas.microsoft.com/office/drawing/2014/main" id="{20605821-B805-C24D-904F-CAE185BF5B44}"/>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45" name="Ink 44">
              <a:extLst>
                <a:ext uri="{FF2B5EF4-FFF2-40B4-BE49-F238E27FC236}">
                  <a16:creationId xmlns:a16="http://schemas.microsoft.com/office/drawing/2014/main" id="{E341C6F8-2C79-D34F-8F34-7C2DF9060FFE}"/>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46" name="Ink 45">
              <a:extLst>
                <a:ext uri="{FF2B5EF4-FFF2-40B4-BE49-F238E27FC236}">
                  <a16:creationId xmlns:a16="http://schemas.microsoft.com/office/drawing/2014/main" id="{B428231A-B00B-054B-873D-0CF5761C4789}"/>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47" name="Ink 46">
              <a:extLst>
                <a:ext uri="{FF2B5EF4-FFF2-40B4-BE49-F238E27FC236}">
                  <a16:creationId xmlns:a16="http://schemas.microsoft.com/office/drawing/2014/main" id="{41C2D93A-FDAD-1F46-B4D1-FC9D2632B913}"/>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48" name="Ink 47">
              <a:extLst>
                <a:ext uri="{FF2B5EF4-FFF2-40B4-BE49-F238E27FC236}">
                  <a16:creationId xmlns:a16="http://schemas.microsoft.com/office/drawing/2014/main" id="{F2FC7840-C965-3043-93FA-B3F44B908A89}"/>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49" name="Ink 48">
              <a:extLst>
                <a:ext uri="{FF2B5EF4-FFF2-40B4-BE49-F238E27FC236}">
                  <a16:creationId xmlns:a16="http://schemas.microsoft.com/office/drawing/2014/main" id="{E1E0A115-06F5-8B43-9F16-513BEDAC7661}"/>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50" name="Ink 49">
              <a:extLst>
                <a:ext uri="{FF2B5EF4-FFF2-40B4-BE49-F238E27FC236}">
                  <a16:creationId xmlns:a16="http://schemas.microsoft.com/office/drawing/2014/main" id="{EE65ACF2-F55D-9643-8EAB-BFC23BBAB04B}"/>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51" name="Ink 50">
              <a:extLst>
                <a:ext uri="{FF2B5EF4-FFF2-40B4-BE49-F238E27FC236}">
                  <a16:creationId xmlns:a16="http://schemas.microsoft.com/office/drawing/2014/main" id="{ECBA0955-FDF2-DE40-9CE5-C5F6F199694A}"/>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52" name="Ink 51">
              <a:extLst>
                <a:ext uri="{FF2B5EF4-FFF2-40B4-BE49-F238E27FC236}">
                  <a16:creationId xmlns:a16="http://schemas.microsoft.com/office/drawing/2014/main" id="{00DC9B93-BDBF-2046-970A-A81EB7777867}"/>
                </a:ext>
              </a:extLst>
            </xdr14:cNvPr>
            <xdr14:cNvContentPartPr/>
          </xdr14:nvContentPartPr>
          <xdr14:nvPr macro=""/>
          <xdr14:xfrm>
            <a:off x="26359255" y="54377198"/>
            <a:ext cx="360" cy="360"/>
          </xdr14:xfrm>
        </xdr:contentPart>
      </mc:Choice>
      <mc:Fallback xmlns="">
        <xdr:pic>
          <xdr:nvPicPr>
            <xdr:cNvPr id="4" name="Ink 3">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5"/>
            <a:stretch>
              <a:fillRect/>
            </a:stretch>
          </xdr:blipFill>
          <xdr:spPr>
            <a:xfrm>
              <a:off x="26350255" y="5436819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53" name="Ink 52">
              <a:extLst>
                <a:ext uri="{FF2B5EF4-FFF2-40B4-BE49-F238E27FC236}">
                  <a16:creationId xmlns:a16="http://schemas.microsoft.com/office/drawing/2014/main" id="{066C2A49-F8D5-FD4B-A22C-E1385995BF6F}"/>
                </a:ext>
              </a:extLst>
            </xdr14:cNvPr>
            <xdr14:cNvContentPartPr/>
          </xdr14:nvContentPartPr>
          <xdr14:nvPr macro=""/>
          <xdr14:xfrm>
            <a:off x="26359255" y="54322838"/>
            <a:ext cx="360" cy="360"/>
          </xdr14:xfrm>
        </xdr:contentPart>
      </mc:Choice>
      <mc:Fallback xmlns="">
        <xdr:pic>
          <xdr:nvPicPr>
            <xdr:cNvPr id="5" name="Ink 4">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5"/>
            <a:stretch>
              <a:fillRect/>
            </a:stretch>
          </xdr:blipFill>
          <xdr:spPr>
            <a:xfrm>
              <a:off x="26350255" y="54313838"/>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54" name="Ink 53">
              <a:extLst>
                <a:ext uri="{FF2B5EF4-FFF2-40B4-BE49-F238E27FC236}">
                  <a16:creationId xmlns:a16="http://schemas.microsoft.com/office/drawing/2014/main" id="{AAC48C42-C951-5C4A-B631-12B2725D1E34}"/>
                </a:ext>
              </a:extLst>
            </xdr14:cNvPr>
            <xdr14:cNvContentPartPr/>
          </xdr14:nvContentPartPr>
          <xdr14:nvPr macro=""/>
          <xdr14:xfrm>
            <a:off x="26845920" y="53566560"/>
            <a:ext cx="360" cy="360"/>
          </xdr14:xfrm>
        </xdr:contentPart>
      </mc:Choice>
      <mc:Fallback xmlns="">
        <xdr:pic>
          <xdr:nvPicPr>
            <xdr:cNvPr id="2" name="Ink 1">
              <a:extLst>
                <a:ext uri="{FF2B5EF4-FFF2-40B4-BE49-F238E27FC236}">
                  <a16:creationId xmlns:a16="http://schemas.microsoft.com/office/drawing/2014/main" id="{12FA2333-6E04-BC41-BC36-82E20C3C3D96}"/>
                </a:ext>
              </a:extLst>
            </xdr:cNvPr>
            <xdr:cNvPicPr/>
          </xdr:nvPicPr>
          <xdr:blipFill>
            <a:blip xmlns:r="http://schemas.openxmlformats.org/officeDocument/2006/relationships" r:embed="rId2"/>
            <a:stretch>
              <a:fillRect/>
            </a:stretch>
          </xdr:blipFill>
          <xdr:spPr>
            <a:xfrm>
              <a:off x="26837280" y="53557560"/>
              <a:ext cx="18000" cy="18000"/>
            </a:xfrm>
            <a:prstGeom prst="rect">
              <a:avLst/>
            </a:prstGeom>
          </xdr:spPr>
        </xdr:pic>
      </mc:Fallback>
    </mc:AlternateContent>
    <xdr:clientData/>
  </xdr:oneCellAnchor>
  <xdr:oneCellAnchor>
    <xdr:from>
      <xdr:col>14</xdr:col>
      <xdr:colOff>0</xdr:colOff>
      <xdr:row>38</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55" name="Ink 54">
              <a:extLst>
                <a:ext uri="{FF2B5EF4-FFF2-40B4-BE49-F238E27FC236}">
                  <a16:creationId xmlns:a16="http://schemas.microsoft.com/office/drawing/2014/main" id="{73D4B44A-2824-5D46-A74B-94BABDB3A16D}"/>
                </a:ext>
              </a:extLst>
            </xdr14:cNvPr>
            <xdr14:cNvContentPartPr/>
          </xdr14:nvContentPartPr>
          <xdr14:nvPr macro=""/>
          <xdr14:xfrm>
            <a:off x="27028440" y="53512200"/>
            <a:ext cx="360" cy="360"/>
          </xdr14:xfrm>
        </xdr:contentPart>
      </mc:Choice>
      <mc:Fallback xmlns="">
        <xdr:pic>
          <xdr:nvPicPr>
            <xdr:cNvPr id="3" name="Ink 2">
              <a:extLst>
                <a:ext uri="{FF2B5EF4-FFF2-40B4-BE49-F238E27FC236}">
                  <a16:creationId xmlns:a16="http://schemas.microsoft.com/office/drawing/2014/main" id="{C01DFD28-6929-9945-9E25-5A29EE70F084}"/>
                </a:ext>
              </a:extLst>
            </xdr:cNvPr>
            <xdr:cNvPicPr/>
          </xdr:nvPicPr>
          <xdr:blipFill>
            <a:blip xmlns:r="http://schemas.openxmlformats.org/officeDocument/2006/relationships" r:embed="rId2"/>
            <a:stretch>
              <a:fillRect/>
            </a:stretch>
          </xdr:blipFill>
          <xdr:spPr>
            <a:xfrm>
              <a:off x="27019440" y="53503560"/>
              <a:ext cx="18000" cy="180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09:19.873"/>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42:43.128"/>
    </inkml:context>
    <inkml:brush xml:id="br0">
      <inkml:brushProperty name="width" value="0.05" units="cm"/>
      <inkml:brushProperty name="height" value="0.05" units="cm"/>
    </inkml:brush>
  </inkml:definitions>
  <inkml:trace contextRef="#ctx0" brushRef="#br0">0 1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09:19.873"/>
    </inkml:context>
    <inkml:brush xml:id="br0">
      <inkml:brushProperty name="width" value="0.05" units="cm"/>
      <inkml:brushProperty name="height" value="0.05" units="cm"/>
    </inkml:brush>
  </inkml:definitions>
  <inkml:trace contextRef="#ctx0" brushRef="#br0">1 0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07T20:42:43.128"/>
    </inkml:context>
    <inkml:brush xml:id="br0">
      <inkml:brushProperty name="width" value="0.05" units="cm"/>
      <inkml:brushProperty name="height" value="0.05" units="cm"/>
    </inkml:brush>
  </inkml:definitions>
  <inkml:trace contextRef="#ctx0" brushRef="#br0">0 1 24575,'0'0'0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14T20:56:54.936"/>
    </inkml:context>
    <inkml:brush xml:id="br0">
      <inkml:brushProperty name="width" value="0.05" units="cm"/>
      <inkml:brushProperty name="height" value="0.05" units="cm"/>
    </inkml:brush>
  </inkml:definitions>
  <inkml:trace contextRef="#ctx0" brushRef="#br0">1 0 24575,'0'0'0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2-14T20:56:54.937"/>
    </inkml:context>
    <inkml:brush xml:id="br0">
      <inkml:brushProperty name="width" value="0.05" units="cm"/>
      <inkml:brushProperty name="height" value="0.05" units="cm"/>
    </inkml:brush>
  </inkml:definitions>
  <inkml:trace contextRef="#ctx0" brushRef="#br0">0 1 24575,'0'0'0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7:46:22.008"/>
    </inkml:context>
    <inkml:brush xml:id="br0">
      <inkml:brushProperty name="width" value="0.05" units="cm"/>
      <inkml:brushProperty name="height" value="0.05" units="cm"/>
    </inkml:brush>
  </inkml:definitions>
  <inkml:trace contextRef="#ctx0" brushRef="#br0">1 0 24575,'0'0'0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7:46:22.010"/>
    </inkml:context>
    <inkml:brush xml:id="br0">
      <inkml:brushProperty name="width" value="0.05" units="cm"/>
      <inkml:brushProperty name="height" value="0.05" units="cm"/>
    </inkml:brush>
  </inkml:definitions>
  <inkml:trace contextRef="#ctx0" brushRef="#br0">0 1 24575,'0'0'0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7:46:22.011"/>
    </inkml:context>
    <inkml:brush xml:id="br0">
      <inkml:brushProperty name="width" value="0.05" units="cm"/>
      <inkml:brushProperty name="height" value="0.05" units="cm"/>
    </inkml:brush>
  </inkml:definitions>
  <inkml:trace contextRef="#ctx0" brushRef="#br0">1 0 24575,'0'0'0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7:46:22.012"/>
    </inkml:context>
    <inkml:brush xml:id="br0">
      <inkml:brushProperty name="width" value="0.05" units="cm"/>
      <inkml:brushProperty name="height" value="0.05" units="cm"/>
    </inkml:brush>
  </inkml:definitions>
  <inkml:trace contextRef="#ctx0" brushRef="#br0">0 1 24575,'0'0'0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7:46:22.013"/>
    </inkml:context>
    <inkml:brush xml:id="br0">
      <inkml:brushProperty name="width" value="0.05" units="cm"/>
      <inkml:brushProperty name="height" value="0.05" units="cm"/>
    </inkml:brush>
  </inkml:definitions>
  <inkml:trace contextRef="#ctx0" brushRef="#br0">1 0 24575,'0'0'0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7:46:22.014"/>
    </inkml:context>
    <inkml:brush xml:id="br0">
      <inkml:brushProperty name="width" value="0.05" units="cm"/>
      <inkml:brushProperty name="height" value="0.05" units="cm"/>
    </inkml:brush>
  </inkml:definitions>
  <inkml:trace contextRef="#ctx0" brushRef="#br0">0 1 24575,'0'0'0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8:24:27.929"/>
    </inkml:context>
    <inkml:brush xml:id="br0">
      <inkml:brushProperty name="width" value="0.05" units="cm"/>
      <inkml:brushProperty name="height" value="0.05" units="cm"/>
    </inkml:brush>
  </inkml:definitions>
  <inkml:trace contextRef="#ctx0" brushRef="#br0">1 0 24575,'0'0'0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8:24:27.930"/>
    </inkml:context>
    <inkml:brush xml:id="br0">
      <inkml:brushProperty name="width" value="0.05" units="cm"/>
      <inkml:brushProperty name="height" value="0.05" units="cm"/>
    </inkml:brush>
  </inkml:definitions>
  <inkml:trace contextRef="#ctx0" brushRef="#br0">0 1 24575,'0'0'0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8:24:27.931"/>
    </inkml:context>
    <inkml:brush xml:id="br0">
      <inkml:brushProperty name="width" value="0.05" units="cm"/>
      <inkml:brushProperty name="height" value="0.05" units="cm"/>
    </inkml:brush>
  </inkml:definitions>
  <inkml:trace contextRef="#ctx0" brushRef="#br0">1 0 24575,'0'0'0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8:24:27.932"/>
    </inkml:context>
    <inkml:brush xml:id="br0">
      <inkml:brushProperty name="width" value="0.05" units="cm"/>
      <inkml:brushProperty name="height" value="0.05" units="cm"/>
    </inkml:brush>
  </inkml:definitions>
  <inkml:trace contextRef="#ctx0" brushRef="#br0">0 1 24575,'0'0'0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8:24:27.933"/>
    </inkml:context>
    <inkml:brush xml:id="br0">
      <inkml:brushProperty name="width" value="0.05" units="cm"/>
      <inkml:brushProperty name="height" value="0.05" units="cm"/>
    </inkml:brush>
  </inkml:definitions>
  <inkml:trace contextRef="#ctx0" brushRef="#br0">1 0 24575,'0'0'0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18:24:27.934"/>
    </inkml:context>
    <inkml:brush xml:id="br0">
      <inkml:brushProperty name="width" value="0.05" units="cm"/>
      <inkml:brushProperty name="height" value="0.05" units="cm"/>
    </inkml:brush>
  </inkml:definitions>
  <inkml:trace contextRef="#ctx0" brushRef="#br0">0 1 24575,'0'0'0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21:27:44.036"/>
    </inkml:context>
    <inkml:brush xml:id="br0">
      <inkml:brushProperty name="width" value="0.05" units="cm"/>
      <inkml:brushProperty name="height" value="0.05" units="cm"/>
    </inkml:brush>
  </inkml:definitions>
  <inkml:trace contextRef="#ctx0" brushRef="#br0">1 0 24575,'0'0'0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21:27:44.037"/>
    </inkml:context>
    <inkml:brush xml:id="br0">
      <inkml:brushProperty name="width" value="0.05" units="cm"/>
      <inkml:brushProperty name="height" value="0.05" units="cm"/>
    </inkml:brush>
  </inkml:definitions>
  <inkml:trace contextRef="#ctx0" brushRef="#br0">0 1 24575,'0'0'0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21:27:44.038"/>
    </inkml:context>
    <inkml:brush xml:id="br0">
      <inkml:brushProperty name="width" value="0.05" units="cm"/>
      <inkml:brushProperty name="height" value="0.05" units="cm"/>
    </inkml:brush>
  </inkml:definitions>
  <inkml:trace contextRef="#ctx0" brushRef="#br0">1 0 24575,'0'0'0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21:27:44.039"/>
    </inkml:context>
    <inkml:brush xml:id="br0">
      <inkml:brushProperty name="width" value="0.05" units="cm"/>
      <inkml:brushProperty name="height" value="0.05" units="cm"/>
    </inkml:brush>
  </inkml:definitions>
  <inkml:trace contextRef="#ctx0" brushRef="#br0">0 1 24575,'0'0'0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21:27:44.040"/>
    </inkml:context>
    <inkml:brush xml:id="br0">
      <inkml:brushProperty name="width" value="0.05" units="cm"/>
      <inkml:brushProperty name="height" value="0.05" units="cm"/>
    </inkml:brush>
  </inkml:definitions>
  <inkml:trace contextRef="#ctx0" brushRef="#br0">1 0 24575,'0'0'0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04-28T21:27:44.041"/>
    </inkml:context>
    <inkml:brush xml:id="br0">
      <inkml:brushProperty name="width" value="0.05" units="cm"/>
      <inkml:brushProperty name="height" value="0.05" units="cm"/>
    </inkml:brush>
  </inkml:definitions>
  <inkml:trace contextRef="#ctx0" brushRef="#br0">0 1 24575,'0'0'0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23:39:03.627"/>
    </inkml:context>
    <inkml:brush xml:id="br0">
      <inkml:brushProperty name="width" value="0.05" units="cm"/>
      <inkml:brushProperty name="height" value="0.05" units="cm"/>
    </inkml:brush>
  </inkml:definitions>
  <inkml:trace contextRef="#ctx0" brushRef="#br0">1 0 24575,'0'0'0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23:39:03.628"/>
    </inkml:context>
    <inkml:brush xml:id="br0">
      <inkml:brushProperty name="width" value="0.05" units="cm"/>
      <inkml:brushProperty name="height" value="0.05" units="cm"/>
    </inkml:brush>
  </inkml:definitions>
  <inkml:trace contextRef="#ctx0" brushRef="#br0">0 1 24575,'0'0'0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23:39:03.629"/>
    </inkml:context>
    <inkml:brush xml:id="br0">
      <inkml:brushProperty name="width" value="0.05" units="cm"/>
      <inkml:brushProperty name="height" value="0.05" units="cm"/>
    </inkml:brush>
  </inkml:definitions>
  <inkml:trace contextRef="#ctx0" brushRef="#br0">1 0 24575,'0'0'0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23:39:03.630"/>
    </inkml:context>
    <inkml:brush xml:id="br0">
      <inkml:brushProperty name="width" value="0.05" units="cm"/>
      <inkml:brushProperty name="height" value="0.05" units="cm"/>
    </inkml:brush>
  </inkml:definitions>
  <inkml:trace contextRef="#ctx0" brushRef="#br0">0 1 24575,'0'0'0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23:39:03.631"/>
    </inkml:context>
    <inkml:brush xml:id="br0">
      <inkml:brushProperty name="width" value="0.05" units="cm"/>
      <inkml:brushProperty name="height" value="0.05" units="cm"/>
    </inkml:brush>
  </inkml:definitions>
  <inkml:trace contextRef="#ctx0" brushRef="#br0">1 0 24575,'0'0'0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2-10-02T23:39:03.632"/>
    </inkml:context>
    <inkml:brush xml:id="br0">
      <inkml:brushProperty name="width" value="0.05" units="cm"/>
      <inkml:brushProperty name="height" value="0.05" units="cm"/>
    </inkml:brush>
  </inkml:definitions>
  <inkml:trace contextRef="#ctx0" brushRef="#br0">0 1 24575,'0'0'0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2"/>
    </inkml:context>
    <inkml:brush xml:id="br0">
      <inkml:brushProperty name="width" value="0.05" units="cm"/>
      <inkml:brushProperty name="height" value="0.05" units="cm"/>
    </inkml:brush>
  </inkml:definitions>
  <inkml:trace contextRef="#ctx0" brushRef="#br0">1 0 24575,'0'0'0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3"/>
    </inkml:context>
    <inkml:brush xml:id="br0">
      <inkml:brushProperty name="width" value="0.05" units="cm"/>
      <inkml:brushProperty name="height" value="0.05" units="cm"/>
    </inkml:brush>
  </inkml:definitions>
  <inkml:trace contextRef="#ctx0" brushRef="#br0">0 1 24575,'0'0'0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4"/>
    </inkml:context>
    <inkml:brush xml:id="br0">
      <inkml:brushProperty name="width" value="0.05" units="cm"/>
      <inkml:brushProperty name="height" value="0.05" units="cm"/>
    </inkml:brush>
  </inkml:definitions>
  <inkml:trace contextRef="#ctx0" brushRef="#br0">1 0 24575,'0'0'0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5"/>
    </inkml:context>
    <inkml:brush xml:id="br0">
      <inkml:brushProperty name="width" value="0.05" units="cm"/>
      <inkml:brushProperty name="height" value="0.05" units="cm"/>
    </inkml:brush>
  </inkml:definitions>
  <inkml:trace contextRef="#ctx0" brushRef="#br0">0 1 24575,'0'0'0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6"/>
    </inkml:context>
    <inkml:brush xml:id="br0">
      <inkml:brushProperty name="width" value="0.05" units="cm"/>
      <inkml:brushProperty name="height" value="0.05" units="cm"/>
    </inkml:brush>
  </inkml:definitions>
  <inkml:trace contextRef="#ctx0" brushRef="#br0">1 0 24575,'0'0'0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7"/>
    </inkml:context>
    <inkml:brush xml:id="br0">
      <inkml:brushProperty name="width" value="0.05" units="cm"/>
      <inkml:brushProperty name="height" value="0.05" units="cm"/>
    </inkml:brush>
  </inkml:definitions>
  <inkml:trace contextRef="#ctx0" brushRef="#br0">0 1 24575,'0'0'0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8"/>
    </inkml:context>
    <inkml:brush xml:id="br0">
      <inkml:brushProperty name="width" value="0.05" units="cm"/>
      <inkml:brushProperty name="height" value="0.05" units="cm"/>
    </inkml:brush>
  </inkml:definitions>
  <inkml:trace contextRef="#ctx0" brushRef="#br0">1 0 24575,'0'0'0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59"/>
    </inkml:context>
    <inkml:brush xml:id="br0">
      <inkml:brushProperty name="width" value="0.05" units="cm"/>
      <inkml:brushProperty name="height" value="0.05" units="cm"/>
    </inkml:brush>
  </inkml:definitions>
  <inkml:trace contextRef="#ctx0" brushRef="#br0">0 1 24575,'0'0'0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0"/>
    </inkml:context>
    <inkml:brush xml:id="br0">
      <inkml:brushProperty name="width" value="0.05" units="cm"/>
      <inkml:brushProperty name="height" value="0.05" units="cm"/>
    </inkml:brush>
  </inkml:definitions>
  <inkml:trace contextRef="#ctx0" brushRef="#br0">1 0 24575,'0'0'0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1"/>
    </inkml:context>
    <inkml:brush xml:id="br0">
      <inkml:brushProperty name="width" value="0.05" units="cm"/>
      <inkml:brushProperty name="height" value="0.05" units="cm"/>
    </inkml:brush>
  </inkml:definitions>
  <inkml:trace contextRef="#ctx0" brushRef="#br0">0 1 24575,'0'0'0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2"/>
    </inkml:context>
    <inkml:brush xml:id="br0">
      <inkml:brushProperty name="width" value="0.05" units="cm"/>
      <inkml:brushProperty name="height" value="0.05" units="cm"/>
    </inkml:brush>
  </inkml:definitions>
  <inkml:trace contextRef="#ctx0" brushRef="#br0">1 0 24575,'0'0'0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3"/>
    </inkml:context>
    <inkml:brush xml:id="br0">
      <inkml:brushProperty name="width" value="0.05" units="cm"/>
      <inkml:brushProperty name="height" value="0.05" units="cm"/>
    </inkml:brush>
  </inkml:definitions>
  <inkml:trace contextRef="#ctx0" brushRef="#br0">0 1 24575,'0'0'0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4"/>
    </inkml:context>
    <inkml:brush xml:id="br0">
      <inkml:brushProperty name="width" value="0.05" units="cm"/>
      <inkml:brushProperty name="height" value="0.05" units="cm"/>
    </inkml:brush>
  </inkml:definitions>
  <inkml:trace contextRef="#ctx0" brushRef="#br0">1 0 24575,'0'0'0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5"/>
    </inkml:context>
    <inkml:brush xml:id="br0">
      <inkml:brushProperty name="width" value="0.05" units="cm"/>
      <inkml:brushProperty name="height" value="0.05" units="cm"/>
    </inkml:brush>
  </inkml:definitions>
  <inkml:trace contextRef="#ctx0" brushRef="#br0">0 1 24575,'0'0'0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6"/>
    </inkml:context>
    <inkml:brush xml:id="br0">
      <inkml:brushProperty name="width" value="0.05" units="cm"/>
      <inkml:brushProperty name="height" value="0.05" units="cm"/>
    </inkml:brush>
  </inkml:definitions>
  <inkml:trace contextRef="#ctx0" brushRef="#br0">1 0 24575,'0'0'0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7"/>
    </inkml:context>
    <inkml:brush xml:id="br0">
      <inkml:brushProperty name="width" value="0.05" units="cm"/>
      <inkml:brushProperty name="height" value="0.05" units="cm"/>
    </inkml:brush>
  </inkml:definitions>
  <inkml:trace contextRef="#ctx0" brushRef="#br0">0 1 24575,'0'0'0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8"/>
    </inkml:context>
    <inkml:brush xml:id="br0">
      <inkml:brushProperty name="width" value="0.05" units="cm"/>
      <inkml:brushProperty name="height" value="0.05" units="cm"/>
    </inkml:brush>
  </inkml:definitions>
  <inkml:trace contextRef="#ctx0" brushRef="#br0">1 0 24575,'0'0'0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69"/>
    </inkml:context>
    <inkml:brush xml:id="br0">
      <inkml:brushProperty name="width" value="0.05" units="cm"/>
      <inkml:brushProperty name="height" value="0.05" units="cm"/>
    </inkml:brush>
  </inkml:definitions>
  <inkml:trace contextRef="#ctx0" brushRef="#br0">0 1 24575,'0'0'0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70"/>
    </inkml:context>
    <inkml:brush xml:id="br0">
      <inkml:brushProperty name="width" value="0.05" units="cm"/>
      <inkml:brushProperty name="height" value="0.05" units="cm"/>
    </inkml:brush>
  </inkml:definitions>
  <inkml:trace contextRef="#ctx0" brushRef="#br0">1 0 24575,'0'0'0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71"/>
    </inkml:context>
    <inkml:brush xml:id="br0">
      <inkml:brushProperty name="width" value="0.05" units="cm"/>
      <inkml:brushProperty name="height" value="0.05" units="cm"/>
    </inkml:brush>
  </inkml:definitions>
  <inkml:trace contextRef="#ctx0" brushRef="#br0">0 1 24575,'0'0'0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72"/>
    </inkml:context>
    <inkml:brush xml:id="br0">
      <inkml:brushProperty name="width" value="0.05" units="cm"/>
      <inkml:brushProperty name="height" value="0.05" units="cm"/>
    </inkml:brush>
  </inkml:definitions>
  <inkml:trace contextRef="#ctx0" brushRef="#br0">1 0 24575,'0'0'0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73"/>
    </inkml:context>
    <inkml:brush xml:id="br0">
      <inkml:brushProperty name="width" value="0.05" units="cm"/>
      <inkml:brushProperty name="height" value="0.05" units="cm"/>
    </inkml:brush>
  </inkml:definitions>
  <inkml:trace contextRef="#ctx0" brushRef="#br0">0 1 24575,'0'0'0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74"/>
    </inkml:context>
    <inkml:brush xml:id="br0">
      <inkml:brushProperty name="width" value="0.05" units="cm"/>
      <inkml:brushProperty name="height" value="0.05" units="cm"/>
    </inkml:brush>
  </inkml:definitions>
  <inkml:trace contextRef="#ctx0" brushRef="#br0">1 0 24575,'0'0'0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01T01:19:18.675"/>
    </inkml:context>
    <inkml:brush xml:id="br0">
      <inkml:brushProperty name="width" value="0.05" units="cm"/>
      <inkml:brushProperty name="height" value="0.05" units="cm"/>
    </inkml:brush>
  </inkml:definitions>
  <inkml:trace contextRef="#ctx0" brushRef="#br0">0 1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6"/>
  <sheetViews>
    <sheetView tabSelected="1" zoomScale="97" zoomScaleNormal="97" workbookViewId="0">
      <pane xSplit="6" ySplit="2" topLeftCell="G3" activePane="bottomRight" state="frozen"/>
      <selection pane="topRight" activeCell="C1" sqref="C1"/>
      <selection pane="bottomLeft" activeCell="A3" sqref="A3"/>
      <selection pane="bottomRight" activeCell="D44" sqref="D44"/>
    </sheetView>
  </sheetViews>
  <sheetFormatPr baseColWidth="10" defaultRowHeight="16" x14ac:dyDescent="0.2"/>
  <cols>
    <col min="1" max="1" width="45.1640625" style="1" customWidth="1"/>
    <col min="2" max="2" width="12" style="1" customWidth="1"/>
    <col min="3" max="4" width="17.33203125" style="1" customWidth="1"/>
    <col min="5" max="5" width="11.6640625" style="1" customWidth="1"/>
    <col min="6" max="6" width="27.1640625" style="1" customWidth="1"/>
    <col min="7" max="7" width="10.83203125" style="1"/>
    <col min="8" max="11" width="9.1640625" style="1" customWidth="1"/>
    <col min="12" max="12" width="10.83203125" style="1"/>
    <col min="13" max="13" width="13.6640625" style="1" customWidth="1"/>
    <col min="14" max="14" width="14.6640625" style="1" customWidth="1"/>
    <col min="15" max="15" width="13.6640625" style="1" customWidth="1"/>
    <col min="16" max="16" width="15.33203125" style="1" customWidth="1"/>
    <col min="17" max="16384" width="10.83203125" style="1"/>
  </cols>
  <sheetData>
    <row r="1" spans="1:16" x14ac:dyDescent="0.2">
      <c r="A1" s="6" t="s">
        <v>39</v>
      </c>
      <c r="B1" s="8" t="s">
        <v>9</v>
      </c>
      <c r="C1" s="8" t="s">
        <v>37</v>
      </c>
      <c r="D1" s="8" t="s">
        <v>38</v>
      </c>
      <c r="E1" s="8" t="s">
        <v>23</v>
      </c>
      <c r="F1" s="6" t="s">
        <v>26</v>
      </c>
      <c r="G1" s="6" t="s">
        <v>0</v>
      </c>
      <c r="H1" s="8" t="s">
        <v>94</v>
      </c>
      <c r="I1" s="8" t="s">
        <v>95</v>
      </c>
      <c r="J1" s="8" t="s">
        <v>96</v>
      </c>
      <c r="K1" s="8" t="s">
        <v>97</v>
      </c>
      <c r="L1" s="8" t="s">
        <v>1</v>
      </c>
      <c r="M1" s="8" t="s">
        <v>6</v>
      </c>
      <c r="N1" s="8" t="s">
        <v>35</v>
      </c>
      <c r="O1" s="8" t="s">
        <v>98</v>
      </c>
      <c r="P1" s="7" t="s">
        <v>7</v>
      </c>
    </row>
    <row r="2" spans="1:16" ht="17" thickBot="1" x14ac:dyDescent="0.25">
      <c r="A2" s="36"/>
      <c r="B2" s="19"/>
      <c r="C2" s="19"/>
      <c r="D2" s="19"/>
      <c r="E2" s="19"/>
      <c r="F2" s="81"/>
      <c r="G2" s="59" t="s">
        <v>2</v>
      </c>
      <c r="H2" s="60" t="s">
        <v>94</v>
      </c>
      <c r="I2" s="60" t="s">
        <v>95</v>
      </c>
      <c r="J2" s="60" t="s">
        <v>96</v>
      </c>
      <c r="K2" s="60" t="s">
        <v>97</v>
      </c>
      <c r="L2" s="60" t="s">
        <v>3</v>
      </c>
      <c r="M2" s="60" t="s">
        <v>4</v>
      </c>
      <c r="N2" s="60" t="s">
        <v>5</v>
      </c>
      <c r="O2" s="60" t="s">
        <v>99</v>
      </c>
      <c r="P2" s="61" t="s">
        <v>8</v>
      </c>
    </row>
    <row r="3" spans="1:16" x14ac:dyDescent="0.2">
      <c r="A3" s="23" t="s">
        <v>105</v>
      </c>
      <c r="B3" s="2" t="s">
        <v>10</v>
      </c>
      <c r="C3" s="2" t="s">
        <v>11</v>
      </c>
      <c r="D3" s="2" t="s">
        <v>27</v>
      </c>
      <c r="E3" s="2" t="s">
        <v>24</v>
      </c>
      <c r="F3" s="30" t="str">
        <f t="shared" ref="F3:F20" si="0">IF(B3="Normal",IF(E3="Mean",CONCATENATE("NOR-Men ",C3,"/",D3),IF(E3="1Sigma",CONCATENATE("NOR-Sig ",C3,"/",D3))),IF(B3="Uniform",IF(E3="Min",CONCATENATE("UNI-Min ",C3,"/",D3),IF(E3="Max",CONCATENATE("UNI-Max ",C3,"/",D3))),IF(B3="LogUniform",IF(E3="Min",CONCATENATE("LGU-Min ",C3,"/",D3),IF(E3="Max",CONCATENATE("LGU-Max ",C3,"/",D3))))))</f>
        <v>UNI-Min Ca/SumObs</v>
      </c>
      <c r="G3" s="82">
        <f>1/3</f>
        <v>0.33333333333333331</v>
      </c>
      <c r="H3" s="83">
        <v>1</v>
      </c>
      <c r="I3" s="83">
        <v>0</v>
      </c>
      <c r="J3" s="83">
        <v>0</v>
      </c>
      <c r="K3" s="83">
        <v>0</v>
      </c>
      <c r="L3" s="84">
        <v>0.5</v>
      </c>
      <c r="M3" s="83">
        <v>0.33</v>
      </c>
      <c r="N3" s="83">
        <v>0</v>
      </c>
      <c r="O3" s="83">
        <v>0</v>
      </c>
      <c r="P3" s="62">
        <v>0</v>
      </c>
    </row>
    <row r="4" spans="1:16" x14ac:dyDescent="0.2">
      <c r="A4" s="24" t="s">
        <v>105</v>
      </c>
      <c r="B4" s="3" t="s">
        <v>10</v>
      </c>
      <c r="C4" s="3" t="s">
        <v>11</v>
      </c>
      <c r="D4" s="3" t="s">
        <v>27</v>
      </c>
      <c r="E4" s="3" t="s">
        <v>25</v>
      </c>
      <c r="F4" s="31" t="str">
        <f t="shared" si="0"/>
        <v>UNI-Max Ca/SumObs</v>
      </c>
      <c r="G4" s="65">
        <f>2/3</f>
        <v>0.66666666666666663</v>
      </c>
      <c r="H4" s="3">
        <v>1</v>
      </c>
      <c r="I4" s="3">
        <v>0</v>
      </c>
      <c r="J4" s="3">
        <v>0</v>
      </c>
      <c r="K4" s="3">
        <v>0</v>
      </c>
      <c r="L4" s="16">
        <v>0.5</v>
      </c>
      <c r="M4" s="3">
        <v>0.53</v>
      </c>
      <c r="N4" s="3">
        <v>0</v>
      </c>
      <c r="O4" s="3">
        <v>0</v>
      </c>
      <c r="P4" s="62">
        <v>0</v>
      </c>
    </row>
    <row r="5" spans="1:16" x14ac:dyDescent="0.2">
      <c r="A5" s="24" t="s">
        <v>105</v>
      </c>
      <c r="B5" s="3" t="s">
        <v>10</v>
      </c>
      <c r="C5" s="3" t="s">
        <v>12</v>
      </c>
      <c r="D5" s="3" t="s">
        <v>27</v>
      </c>
      <c r="E5" s="3" t="s">
        <v>24</v>
      </c>
      <c r="F5" s="31" t="str">
        <f t="shared" si="0"/>
        <v>UNI-Min Mg/SumObs</v>
      </c>
      <c r="G5" s="65">
        <v>0</v>
      </c>
      <c r="H5" s="3">
        <v>0</v>
      </c>
      <c r="I5" s="3">
        <v>1</v>
      </c>
      <c r="J5" s="3">
        <v>0</v>
      </c>
      <c r="K5" s="3">
        <v>0</v>
      </c>
      <c r="L5" s="16">
        <v>0</v>
      </c>
      <c r="M5" s="3">
        <v>7.0000000000000007E-2</v>
      </c>
      <c r="N5" s="3">
        <v>0</v>
      </c>
      <c r="O5" s="3">
        <v>0</v>
      </c>
      <c r="P5" s="62">
        <v>0</v>
      </c>
    </row>
    <row r="6" spans="1:16" x14ac:dyDescent="0.2">
      <c r="A6" s="24" t="s">
        <v>105</v>
      </c>
      <c r="B6" s="3" t="s">
        <v>10</v>
      </c>
      <c r="C6" s="3" t="s">
        <v>12</v>
      </c>
      <c r="D6" s="3" t="s">
        <v>27</v>
      </c>
      <c r="E6" s="3" t="s">
        <v>25</v>
      </c>
      <c r="F6" s="31" t="str">
        <f t="shared" si="0"/>
        <v>UNI-Max Mg/SumObs</v>
      </c>
      <c r="G6" s="65">
        <f>1/3</f>
        <v>0.33333333333333331</v>
      </c>
      <c r="H6" s="3">
        <v>0</v>
      </c>
      <c r="I6" s="3">
        <v>1</v>
      </c>
      <c r="J6" s="3">
        <v>0</v>
      </c>
      <c r="K6" s="3">
        <v>0</v>
      </c>
      <c r="L6" s="16">
        <v>0</v>
      </c>
      <c r="M6" s="3">
        <v>0.11</v>
      </c>
      <c r="N6" s="3">
        <v>0</v>
      </c>
      <c r="O6" s="3">
        <v>0</v>
      </c>
      <c r="P6" s="62">
        <v>0</v>
      </c>
    </row>
    <row r="7" spans="1:16" x14ac:dyDescent="0.2">
      <c r="A7" s="24" t="s">
        <v>105</v>
      </c>
      <c r="B7" s="3" t="s">
        <v>10</v>
      </c>
      <c r="C7" s="3" t="s">
        <v>13</v>
      </c>
      <c r="D7" s="3" t="s">
        <v>27</v>
      </c>
      <c r="E7" s="3" t="s">
        <v>24</v>
      </c>
      <c r="F7" s="31" t="str">
        <f t="shared" si="0"/>
        <v>UNI-Min Na/SumObs</v>
      </c>
      <c r="G7" s="65">
        <v>0</v>
      </c>
      <c r="H7" s="3">
        <v>0</v>
      </c>
      <c r="I7" s="3">
        <v>0</v>
      </c>
      <c r="J7" s="3">
        <v>1</v>
      </c>
      <c r="K7" s="3">
        <v>0</v>
      </c>
      <c r="L7" s="16">
        <v>0</v>
      </c>
      <c r="M7" s="3">
        <v>0.12</v>
      </c>
      <c r="N7" s="3">
        <v>0</v>
      </c>
      <c r="O7" s="3">
        <v>0</v>
      </c>
      <c r="P7" s="62">
        <v>0</v>
      </c>
    </row>
    <row r="8" spans="1:16" x14ac:dyDescent="0.2">
      <c r="A8" s="24" t="s">
        <v>105</v>
      </c>
      <c r="B8" s="3" t="s">
        <v>10</v>
      </c>
      <c r="C8" s="3" t="s">
        <v>13</v>
      </c>
      <c r="D8" s="3" t="s">
        <v>27</v>
      </c>
      <c r="E8" s="3" t="s">
        <v>25</v>
      </c>
      <c r="F8" s="31" t="str">
        <f t="shared" si="0"/>
        <v>UNI-Max Na/SumObs</v>
      </c>
      <c r="G8" s="65">
        <v>0</v>
      </c>
      <c r="H8" s="3">
        <v>0</v>
      </c>
      <c r="I8" s="3">
        <v>0</v>
      </c>
      <c r="J8" s="3">
        <v>1</v>
      </c>
      <c r="K8" s="3">
        <v>0</v>
      </c>
      <c r="L8" s="16">
        <v>0</v>
      </c>
      <c r="M8" s="3">
        <v>0.27</v>
      </c>
      <c r="N8" s="3">
        <v>0</v>
      </c>
      <c r="O8" s="3">
        <v>0</v>
      </c>
      <c r="P8" s="62">
        <v>0</v>
      </c>
    </row>
    <row r="9" spans="1:16" x14ac:dyDescent="0.2">
      <c r="A9" s="24" t="s">
        <v>105</v>
      </c>
      <c r="B9" s="3" t="s">
        <v>10</v>
      </c>
      <c r="C9" s="3" t="s">
        <v>22</v>
      </c>
      <c r="D9" s="3" t="s">
        <v>27</v>
      </c>
      <c r="E9" s="3" t="s">
        <v>24</v>
      </c>
      <c r="F9" s="31" t="str">
        <f t="shared" si="0"/>
        <v>UNI-Min K/SumObs</v>
      </c>
      <c r="G9" s="65">
        <v>0</v>
      </c>
      <c r="H9" s="3">
        <v>0</v>
      </c>
      <c r="I9" s="3">
        <v>0</v>
      </c>
      <c r="J9" s="3">
        <v>0</v>
      </c>
      <c r="K9" s="3">
        <v>1</v>
      </c>
      <c r="L9" s="16">
        <v>0</v>
      </c>
      <c r="M9" s="3">
        <v>0.03</v>
      </c>
      <c r="N9" s="3">
        <v>0</v>
      </c>
      <c r="O9" s="3">
        <v>0</v>
      </c>
      <c r="P9" s="62">
        <v>0</v>
      </c>
    </row>
    <row r="10" spans="1:16" ht="17" customHeight="1" x14ac:dyDescent="0.2">
      <c r="A10" s="24" t="s">
        <v>105</v>
      </c>
      <c r="B10" s="3" t="s">
        <v>10</v>
      </c>
      <c r="C10" s="3" t="s">
        <v>22</v>
      </c>
      <c r="D10" s="3" t="s">
        <v>27</v>
      </c>
      <c r="E10" s="3" t="s">
        <v>25</v>
      </c>
      <c r="F10" s="31" t="str">
        <f t="shared" si="0"/>
        <v>UNI-Max K/SumObs</v>
      </c>
      <c r="G10" s="65">
        <v>0</v>
      </c>
      <c r="H10" s="3">
        <v>0</v>
      </c>
      <c r="I10" s="3">
        <v>0</v>
      </c>
      <c r="J10" s="3">
        <v>0</v>
      </c>
      <c r="K10" s="3">
        <v>1</v>
      </c>
      <c r="L10" s="16">
        <v>0</v>
      </c>
      <c r="M10" s="3">
        <v>0.06</v>
      </c>
      <c r="N10" s="3">
        <v>0</v>
      </c>
      <c r="O10" s="3">
        <v>0</v>
      </c>
      <c r="P10" s="62">
        <v>0</v>
      </c>
    </row>
    <row r="11" spans="1:16" x14ac:dyDescent="0.2">
      <c r="A11" s="24" t="s">
        <v>105</v>
      </c>
      <c r="B11" s="3" t="s">
        <v>10</v>
      </c>
      <c r="C11" s="3" t="s">
        <v>14</v>
      </c>
      <c r="D11" s="3" t="s">
        <v>27</v>
      </c>
      <c r="E11" s="3" t="s">
        <v>24</v>
      </c>
      <c r="F11" s="31" t="str">
        <f t="shared" si="0"/>
        <v>UNI-Min Cl/SumObs</v>
      </c>
      <c r="G11" s="65">
        <v>0</v>
      </c>
      <c r="H11" s="3">
        <v>0</v>
      </c>
      <c r="I11" s="3">
        <v>0</v>
      </c>
      <c r="J11" s="3">
        <v>0</v>
      </c>
      <c r="K11" s="3">
        <v>0</v>
      </c>
      <c r="L11" s="16">
        <v>0</v>
      </c>
      <c r="M11" s="3">
        <v>0.1</v>
      </c>
      <c r="N11" s="3">
        <v>0</v>
      </c>
      <c r="O11" s="3">
        <v>0</v>
      </c>
      <c r="P11" s="62">
        <v>0</v>
      </c>
    </row>
    <row r="12" spans="1:16" x14ac:dyDescent="0.2">
      <c r="A12" s="24" t="s">
        <v>105</v>
      </c>
      <c r="B12" s="3" t="s">
        <v>10</v>
      </c>
      <c r="C12" s="3" t="s">
        <v>14</v>
      </c>
      <c r="D12" s="3" t="s">
        <v>27</v>
      </c>
      <c r="E12" s="3" t="s">
        <v>25</v>
      </c>
      <c r="F12" s="31" t="str">
        <f t="shared" si="0"/>
        <v>UNI-Max Cl/SumObs</v>
      </c>
      <c r="G12" s="65">
        <v>0</v>
      </c>
      <c r="H12" s="3">
        <v>0</v>
      </c>
      <c r="I12" s="3">
        <v>0</v>
      </c>
      <c r="J12" s="3">
        <v>0</v>
      </c>
      <c r="K12" s="3">
        <v>0</v>
      </c>
      <c r="L12" s="16">
        <v>0</v>
      </c>
      <c r="M12" s="3">
        <v>0.33</v>
      </c>
      <c r="N12" s="3">
        <v>0</v>
      </c>
      <c r="O12" s="3">
        <v>0</v>
      </c>
      <c r="P12" s="62">
        <v>0</v>
      </c>
    </row>
    <row r="13" spans="1:16" x14ac:dyDescent="0.2">
      <c r="A13" s="24" t="s">
        <v>105</v>
      </c>
      <c r="B13" s="3" t="s">
        <v>10</v>
      </c>
      <c r="C13" s="3" t="s">
        <v>21</v>
      </c>
      <c r="D13" s="3" t="s">
        <v>27</v>
      </c>
      <c r="E13" s="3" t="s">
        <v>24</v>
      </c>
      <c r="F13" s="31" t="str">
        <f t="shared" si="0"/>
        <v>UNI-Min DIC/SumObs</v>
      </c>
      <c r="G13" s="65">
        <f>1/3</f>
        <v>0.33333333333333331</v>
      </c>
      <c r="H13" s="3">
        <v>0</v>
      </c>
      <c r="I13" s="3">
        <v>0</v>
      </c>
      <c r="J13" s="3">
        <v>0</v>
      </c>
      <c r="K13" s="3">
        <v>0</v>
      </c>
      <c r="L13" s="3">
        <v>0</v>
      </c>
      <c r="M13" s="3">
        <v>0</v>
      </c>
      <c r="N13" s="3">
        <v>0</v>
      </c>
      <c r="O13" s="3">
        <v>1</v>
      </c>
      <c r="P13" s="62">
        <v>1</v>
      </c>
    </row>
    <row r="14" spans="1:16" x14ac:dyDescent="0.2">
      <c r="A14" s="24" t="s">
        <v>105</v>
      </c>
      <c r="B14" s="3" t="s">
        <v>10</v>
      </c>
      <c r="C14" s="3" t="s">
        <v>21</v>
      </c>
      <c r="D14" s="3" t="s">
        <v>27</v>
      </c>
      <c r="E14" s="3" t="s">
        <v>25</v>
      </c>
      <c r="F14" s="31" t="str">
        <f t="shared" si="0"/>
        <v>UNI-Max DIC/SumObs</v>
      </c>
      <c r="G14" s="65">
        <f>1/3</f>
        <v>0.33333333333333331</v>
      </c>
      <c r="H14" s="3">
        <v>0</v>
      </c>
      <c r="I14" s="3">
        <v>0</v>
      </c>
      <c r="J14" s="3">
        <v>0</v>
      </c>
      <c r="K14" s="3">
        <v>0</v>
      </c>
      <c r="L14" s="3">
        <v>0</v>
      </c>
      <c r="M14" s="64">
        <v>0</v>
      </c>
      <c r="N14" s="3">
        <v>0</v>
      </c>
      <c r="O14" s="3">
        <v>1</v>
      </c>
      <c r="P14" s="62">
        <v>1</v>
      </c>
    </row>
    <row r="15" spans="1:16" x14ac:dyDescent="0.2">
      <c r="A15" s="24" t="s">
        <v>105</v>
      </c>
      <c r="B15" s="3" t="s">
        <v>10</v>
      </c>
      <c r="C15" s="3" t="s">
        <v>41</v>
      </c>
      <c r="D15" s="3" t="s">
        <v>27</v>
      </c>
      <c r="E15" s="3" t="s">
        <v>24</v>
      </c>
      <c r="F15" s="31" t="str">
        <f t="shared" si="0"/>
        <v>UNI-Min d13C/SumObs</v>
      </c>
      <c r="G15" s="65">
        <v>0</v>
      </c>
      <c r="H15" s="3">
        <v>0</v>
      </c>
      <c r="I15" s="3">
        <v>0</v>
      </c>
      <c r="J15" s="3">
        <v>0</v>
      </c>
      <c r="K15" s="3">
        <v>0</v>
      </c>
      <c r="L15" s="3">
        <v>0</v>
      </c>
      <c r="M15" s="64">
        <v>0</v>
      </c>
      <c r="N15" s="3">
        <v>0</v>
      </c>
      <c r="O15" s="3" t="s">
        <v>103</v>
      </c>
      <c r="P15" s="62">
        <v>-30</v>
      </c>
    </row>
    <row r="16" spans="1:16" x14ac:dyDescent="0.2">
      <c r="A16" s="24" t="s">
        <v>105</v>
      </c>
      <c r="B16" s="3" t="s">
        <v>10</v>
      </c>
      <c r="C16" s="3" t="s">
        <v>41</v>
      </c>
      <c r="D16" s="3" t="s">
        <v>27</v>
      </c>
      <c r="E16" s="3" t="s">
        <v>25</v>
      </c>
      <c r="F16" s="31" t="str">
        <f t="shared" si="0"/>
        <v>UNI-Max d13C/SumObs</v>
      </c>
      <c r="G16" s="65">
        <v>0</v>
      </c>
      <c r="H16" s="3">
        <v>0</v>
      </c>
      <c r="I16" s="3">
        <v>0</v>
      </c>
      <c r="J16" s="3">
        <v>0</v>
      </c>
      <c r="K16" s="3">
        <v>0</v>
      </c>
      <c r="L16" s="3">
        <v>0</v>
      </c>
      <c r="M16" s="64">
        <v>0</v>
      </c>
      <c r="N16" s="3">
        <v>0</v>
      </c>
      <c r="O16" s="3" t="s">
        <v>100</v>
      </c>
      <c r="P16" s="62">
        <v>-24</v>
      </c>
    </row>
    <row r="17" spans="1:16" x14ac:dyDescent="0.2">
      <c r="A17" s="24" t="s">
        <v>105</v>
      </c>
      <c r="B17" s="3" t="s">
        <v>10</v>
      </c>
      <c r="C17" s="3" t="s">
        <v>15</v>
      </c>
      <c r="D17" s="3" t="s">
        <v>27</v>
      </c>
      <c r="E17" s="3" t="s">
        <v>24</v>
      </c>
      <c r="F17" s="31" t="str">
        <f t="shared" si="0"/>
        <v>UNI-Min SO4/SumObs</v>
      </c>
      <c r="G17" s="65">
        <v>0</v>
      </c>
      <c r="H17" s="3">
        <v>0</v>
      </c>
      <c r="I17" s="3">
        <v>0</v>
      </c>
      <c r="J17" s="3">
        <v>0</v>
      </c>
      <c r="K17" s="3">
        <v>0</v>
      </c>
      <c r="L17" s="16">
        <v>0.5</v>
      </c>
      <c r="M17" s="3">
        <v>0.13</v>
      </c>
      <c r="N17" s="3">
        <v>1</v>
      </c>
      <c r="O17" s="3">
        <v>0</v>
      </c>
      <c r="P17" s="62">
        <v>0</v>
      </c>
    </row>
    <row r="18" spans="1:16" x14ac:dyDescent="0.2">
      <c r="A18" s="24" t="s">
        <v>105</v>
      </c>
      <c r="B18" s="3" t="s">
        <v>10</v>
      </c>
      <c r="C18" s="3" t="s">
        <v>15</v>
      </c>
      <c r="D18" s="3" t="s">
        <v>27</v>
      </c>
      <c r="E18" s="3" t="s">
        <v>25</v>
      </c>
      <c r="F18" s="31" t="str">
        <f t="shared" si="0"/>
        <v>UNI-Max SO4/SumObs</v>
      </c>
      <c r="G18" s="65">
        <v>0</v>
      </c>
      <c r="H18" s="3">
        <v>0</v>
      </c>
      <c r="I18" s="3">
        <v>0</v>
      </c>
      <c r="J18" s="3">
        <v>0</v>
      </c>
      <c r="K18" s="3">
        <v>0</v>
      </c>
      <c r="L18" s="16">
        <v>0.5</v>
      </c>
      <c r="M18" s="3">
        <v>0.37</v>
      </c>
      <c r="N18" s="3">
        <v>1</v>
      </c>
      <c r="O18" s="3">
        <v>0</v>
      </c>
      <c r="P18" s="62">
        <v>0</v>
      </c>
    </row>
    <row r="19" spans="1:16" x14ac:dyDescent="0.2">
      <c r="A19" s="24" t="s">
        <v>105</v>
      </c>
      <c r="B19" s="3" t="s">
        <v>10</v>
      </c>
      <c r="C19" s="3" t="s">
        <v>17</v>
      </c>
      <c r="D19" s="3" t="s">
        <v>27</v>
      </c>
      <c r="E19" s="3" t="s">
        <v>24</v>
      </c>
      <c r="F19" s="31" t="str">
        <f t="shared" si="0"/>
        <v>UNI-Min d34S/SumObs</v>
      </c>
      <c r="G19" s="65">
        <v>0</v>
      </c>
      <c r="H19" s="3">
        <v>0</v>
      </c>
      <c r="I19" s="3">
        <v>0</v>
      </c>
      <c r="J19" s="3">
        <v>0</v>
      </c>
      <c r="K19" s="3">
        <v>0</v>
      </c>
      <c r="L19" s="16">
        <v>10</v>
      </c>
      <c r="M19" s="3">
        <v>4.5</v>
      </c>
      <c r="N19" s="3">
        <v>-20</v>
      </c>
      <c r="O19" s="3">
        <v>0</v>
      </c>
      <c r="P19" s="62">
        <v>0</v>
      </c>
    </row>
    <row r="20" spans="1:16" ht="17" thickBot="1" x14ac:dyDescent="0.25">
      <c r="A20" s="11" t="s">
        <v>105</v>
      </c>
      <c r="B20" s="12" t="s">
        <v>10</v>
      </c>
      <c r="C20" s="12" t="s">
        <v>17</v>
      </c>
      <c r="D20" s="12" t="s">
        <v>27</v>
      </c>
      <c r="E20" s="12" t="s">
        <v>25</v>
      </c>
      <c r="F20" s="32" t="str">
        <f t="shared" si="0"/>
        <v>UNI-Max d34S/SumObs</v>
      </c>
      <c r="G20" s="66">
        <v>0</v>
      </c>
      <c r="H20" s="12">
        <v>0</v>
      </c>
      <c r="I20" s="12">
        <v>0</v>
      </c>
      <c r="J20" s="12">
        <v>0</v>
      </c>
      <c r="K20" s="12">
        <v>0</v>
      </c>
      <c r="L20" s="25">
        <v>30</v>
      </c>
      <c r="M20" s="12">
        <v>5.9</v>
      </c>
      <c r="N20" s="12">
        <v>0</v>
      </c>
      <c r="O20" s="12">
        <v>0</v>
      </c>
      <c r="P20" s="63">
        <v>0</v>
      </c>
    </row>
    <row r="21" spans="1:16" x14ac:dyDescent="0.2">
      <c r="A21" s="39" t="s">
        <v>106</v>
      </c>
      <c r="B21" s="15" t="s">
        <v>10</v>
      </c>
      <c r="C21" s="15" t="s">
        <v>11</v>
      </c>
      <c r="D21" s="15" t="s">
        <v>27</v>
      </c>
      <c r="E21" s="15" t="s">
        <v>24</v>
      </c>
      <c r="F21" s="35" t="str">
        <f t="shared" ref="F21:F38" si="1">IF(B21="Normal",IF(E21="Mean",CONCATENATE("NOR-Men ",C21,"/",D21),IF(E21="1Sigma",CONCATENATE("NOR-Sig ",C21,"/",D21))),IF(B21="Uniform",IF(E21="Min",CONCATENATE("UNI-Min ",C21,"/",D21),IF(E21="Max",CONCATENATE("UNI-Max ",C21,"/",D21))),IF(B21="LogUniform",IF(E21="Min",CONCATENATE("LGU-Min ",C21,"/",D21),IF(E21="Max",CONCATENATE("LGU-Max ",C21,"/",D21))))))</f>
        <v>UNI-Min Ca/SumObs</v>
      </c>
      <c r="G21" s="67">
        <f>1/3</f>
        <v>0.33333333333333331</v>
      </c>
      <c r="H21" s="15">
        <v>1</v>
      </c>
      <c r="I21" s="15">
        <v>0</v>
      </c>
      <c r="J21" s="15">
        <v>0</v>
      </c>
      <c r="K21" s="15">
        <v>0</v>
      </c>
      <c r="L21" s="37">
        <v>0.5</v>
      </c>
      <c r="M21" s="15">
        <v>0.33</v>
      </c>
      <c r="N21" s="15">
        <v>0</v>
      </c>
      <c r="O21" s="15">
        <v>0</v>
      </c>
      <c r="P21" s="68">
        <v>0</v>
      </c>
    </row>
    <row r="22" spans="1:16" x14ac:dyDescent="0.2">
      <c r="A22" s="40" t="s">
        <v>106</v>
      </c>
      <c r="B22" s="9" t="s">
        <v>10</v>
      </c>
      <c r="C22" s="9" t="s">
        <v>11</v>
      </c>
      <c r="D22" s="9" t="s">
        <v>27</v>
      </c>
      <c r="E22" s="9" t="s">
        <v>25</v>
      </c>
      <c r="F22" s="33" t="str">
        <f t="shared" si="1"/>
        <v>UNI-Max Ca/SumObs</v>
      </c>
      <c r="G22" s="69">
        <f>2/3</f>
        <v>0.66666666666666663</v>
      </c>
      <c r="H22" s="9">
        <v>1</v>
      </c>
      <c r="I22" s="9">
        <v>0</v>
      </c>
      <c r="J22" s="9">
        <v>0</v>
      </c>
      <c r="K22" s="9">
        <v>0</v>
      </c>
      <c r="L22" s="26">
        <v>0.5</v>
      </c>
      <c r="M22" s="9">
        <v>0.53</v>
      </c>
      <c r="N22" s="9">
        <v>0</v>
      </c>
      <c r="O22" s="9">
        <v>0</v>
      </c>
      <c r="P22" s="70">
        <v>0</v>
      </c>
    </row>
    <row r="23" spans="1:16" x14ac:dyDescent="0.2">
      <c r="A23" s="40" t="s">
        <v>106</v>
      </c>
      <c r="B23" s="9" t="s">
        <v>10</v>
      </c>
      <c r="C23" s="9" t="s">
        <v>12</v>
      </c>
      <c r="D23" s="9" t="s">
        <v>27</v>
      </c>
      <c r="E23" s="9" t="s">
        <v>24</v>
      </c>
      <c r="F23" s="33" t="str">
        <f t="shared" si="1"/>
        <v>UNI-Min Mg/SumObs</v>
      </c>
      <c r="G23" s="69">
        <v>0</v>
      </c>
      <c r="H23" s="9">
        <v>0</v>
      </c>
      <c r="I23" s="9">
        <v>1</v>
      </c>
      <c r="J23" s="9">
        <v>0</v>
      </c>
      <c r="K23" s="9">
        <v>0</v>
      </c>
      <c r="L23" s="26">
        <v>0</v>
      </c>
      <c r="M23" s="9">
        <v>7.0000000000000007E-2</v>
      </c>
      <c r="N23" s="9">
        <v>0</v>
      </c>
      <c r="O23" s="9">
        <v>0</v>
      </c>
      <c r="P23" s="70">
        <v>0</v>
      </c>
    </row>
    <row r="24" spans="1:16" x14ac:dyDescent="0.2">
      <c r="A24" s="40" t="s">
        <v>106</v>
      </c>
      <c r="B24" s="9" t="s">
        <v>10</v>
      </c>
      <c r="C24" s="9" t="s">
        <v>12</v>
      </c>
      <c r="D24" s="9" t="s">
        <v>27</v>
      </c>
      <c r="E24" s="9" t="s">
        <v>25</v>
      </c>
      <c r="F24" s="33" t="str">
        <f t="shared" si="1"/>
        <v>UNI-Max Mg/SumObs</v>
      </c>
      <c r="G24" s="69">
        <f>1/3</f>
        <v>0.33333333333333331</v>
      </c>
      <c r="H24" s="9">
        <v>0</v>
      </c>
      <c r="I24" s="9">
        <v>1</v>
      </c>
      <c r="J24" s="9">
        <v>0</v>
      </c>
      <c r="K24" s="9">
        <v>0</v>
      </c>
      <c r="L24" s="26">
        <v>0</v>
      </c>
      <c r="M24" s="9">
        <v>0.11</v>
      </c>
      <c r="N24" s="9">
        <v>0</v>
      </c>
      <c r="O24" s="9">
        <v>0</v>
      </c>
      <c r="P24" s="70">
        <v>0</v>
      </c>
    </row>
    <row r="25" spans="1:16" x14ac:dyDescent="0.2">
      <c r="A25" s="40" t="s">
        <v>106</v>
      </c>
      <c r="B25" s="9" t="s">
        <v>10</v>
      </c>
      <c r="C25" s="9" t="s">
        <v>13</v>
      </c>
      <c r="D25" s="9" t="s">
        <v>27</v>
      </c>
      <c r="E25" s="9" t="s">
        <v>24</v>
      </c>
      <c r="F25" s="33" t="str">
        <f t="shared" si="1"/>
        <v>UNI-Min Na/SumObs</v>
      </c>
      <c r="G25" s="69">
        <v>0</v>
      </c>
      <c r="H25" s="9">
        <v>0</v>
      </c>
      <c r="I25" s="9">
        <v>0</v>
      </c>
      <c r="J25" s="9">
        <v>1</v>
      </c>
      <c r="K25" s="9">
        <v>0</v>
      </c>
      <c r="L25" s="26">
        <v>0</v>
      </c>
      <c r="M25" s="9">
        <v>0.12</v>
      </c>
      <c r="N25" s="9">
        <v>0</v>
      </c>
      <c r="O25" s="9">
        <v>0</v>
      </c>
      <c r="P25" s="70">
        <v>0</v>
      </c>
    </row>
    <row r="26" spans="1:16" x14ac:dyDescent="0.2">
      <c r="A26" s="40" t="s">
        <v>106</v>
      </c>
      <c r="B26" s="9" t="s">
        <v>10</v>
      </c>
      <c r="C26" s="9" t="s">
        <v>13</v>
      </c>
      <c r="D26" s="9" t="s">
        <v>27</v>
      </c>
      <c r="E26" s="9" t="s">
        <v>25</v>
      </c>
      <c r="F26" s="33" t="str">
        <f t="shared" si="1"/>
        <v>UNI-Max Na/SumObs</v>
      </c>
      <c r="G26" s="69">
        <v>0</v>
      </c>
      <c r="H26" s="9">
        <v>0</v>
      </c>
      <c r="I26" s="9">
        <v>0</v>
      </c>
      <c r="J26" s="9">
        <v>1</v>
      </c>
      <c r="K26" s="9">
        <v>0</v>
      </c>
      <c r="L26" s="26">
        <v>0</v>
      </c>
      <c r="M26" s="9">
        <v>0.27</v>
      </c>
      <c r="N26" s="9">
        <v>0</v>
      </c>
      <c r="O26" s="9">
        <v>0</v>
      </c>
      <c r="P26" s="70">
        <v>0</v>
      </c>
    </row>
    <row r="27" spans="1:16" x14ac:dyDescent="0.2">
      <c r="A27" s="40" t="s">
        <v>106</v>
      </c>
      <c r="B27" s="9" t="s">
        <v>10</v>
      </c>
      <c r="C27" s="9" t="s">
        <v>22</v>
      </c>
      <c r="D27" s="9" t="s">
        <v>27</v>
      </c>
      <c r="E27" s="9" t="s">
        <v>24</v>
      </c>
      <c r="F27" s="33" t="str">
        <f t="shared" si="1"/>
        <v>UNI-Min K/SumObs</v>
      </c>
      <c r="G27" s="69">
        <v>0</v>
      </c>
      <c r="H27" s="9">
        <v>0</v>
      </c>
      <c r="I27" s="9">
        <v>0</v>
      </c>
      <c r="J27" s="9">
        <v>0</v>
      </c>
      <c r="K27" s="9">
        <v>1</v>
      </c>
      <c r="L27" s="26">
        <v>0</v>
      </c>
      <c r="M27" s="9">
        <v>0.03</v>
      </c>
      <c r="N27" s="9">
        <v>0</v>
      </c>
      <c r="O27" s="9">
        <v>0</v>
      </c>
      <c r="P27" s="70">
        <v>0</v>
      </c>
    </row>
    <row r="28" spans="1:16" x14ac:dyDescent="0.2">
      <c r="A28" s="40" t="s">
        <v>106</v>
      </c>
      <c r="B28" s="9" t="s">
        <v>10</v>
      </c>
      <c r="C28" s="9" t="s">
        <v>22</v>
      </c>
      <c r="D28" s="9" t="s">
        <v>27</v>
      </c>
      <c r="E28" s="9" t="s">
        <v>25</v>
      </c>
      <c r="F28" s="33" t="str">
        <f t="shared" si="1"/>
        <v>UNI-Max K/SumObs</v>
      </c>
      <c r="G28" s="69">
        <v>0</v>
      </c>
      <c r="H28" s="9">
        <v>0</v>
      </c>
      <c r="I28" s="9">
        <v>0</v>
      </c>
      <c r="J28" s="9">
        <v>0</v>
      </c>
      <c r="K28" s="9">
        <v>1</v>
      </c>
      <c r="L28" s="26">
        <v>0</v>
      </c>
      <c r="M28" s="9">
        <v>0.06</v>
      </c>
      <c r="N28" s="9">
        <v>0</v>
      </c>
      <c r="O28" s="9">
        <v>0</v>
      </c>
      <c r="P28" s="70">
        <v>0</v>
      </c>
    </row>
    <row r="29" spans="1:16" x14ac:dyDescent="0.2">
      <c r="A29" s="40" t="s">
        <v>106</v>
      </c>
      <c r="B29" s="9" t="s">
        <v>10</v>
      </c>
      <c r="C29" s="9" t="s">
        <v>14</v>
      </c>
      <c r="D29" s="9" t="s">
        <v>27</v>
      </c>
      <c r="E29" s="9" t="s">
        <v>24</v>
      </c>
      <c r="F29" s="33" t="str">
        <f t="shared" si="1"/>
        <v>UNI-Min Cl/SumObs</v>
      </c>
      <c r="G29" s="69">
        <v>0</v>
      </c>
      <c r="H29" s="9">
        <v>0</v>
      </c>
      <c r="I29" s="9">
        <v>0</v>
      </c>
      <c r="J29" s="9">
        <v>0</v>
      </c>
      <c r="K29" s="9">
        <v>0</v>
      </c>
      <c r="L29" s="26">
        <v>0</v>
      </c>
      <c r="M29" s="9">
        <v>0.1</v>
      </c>
      <c r="N29" s="9">
        <v>0</v>
      </c>
      <c r="O29" s="9">
        <v>0</v>
      </c>
      <c r="P29" s="70">
        <v>0</v>
      </c>
    </row>
    <row r="30" spans="1:16" x14ac:dyDescent="0.2">
      <c r="A30" s="40" t="s">
        <v>106</v>
      </c>
      <c r="B30" s="9" t="s">
        <v>10</v>
      </c>
      <c r="C30" s="9" t="s">
        <v>14</v>
      </c>
      <c r="D30" s="9" t="s">
        <v>27</v>
      </c>
      <c r="E30" s="9" t="s">
        <v>25</v>
      </c>
      <c r="F30" s="33" t="str">
        <f t="shared" si="1"/>
        <v>UNI-Max Cl/SumObs</v>
      </c>
      <c r="G30" s="69">
        <v>0</v>
      </c>
      <c r="H30" s="9">
        <v>0</v>
      </c>
      <c r="I30" s="9">
        <v>0</v>
      </c>
      <c r="J30" s="9">
        <v>0</v>
      </c>
      <c r="K30" s="9">
        <v>0</v>
      </c>
      <c r="L30" s="26">
        <v>0</v>
      </c>
      <c r="M30" s="9">
        <v>0.33</v>
      </c>
      <c r="N30" s="9">
        <v>0</v>
      </c>
      <c r="O30" s="9">
        <v>0</v>
      </c>
      <c r="P30" s="70">
        <v>0</v>
      </c>
    </row>
    <row r="31" spans="1:16" x14ac:dyDescent="0.2">
      <c r="A31" s="40" t="s">
        <v>106</v>
      </c>
      <c r="B31" s="9" t="s">
        <v>10</v>
      </c>
      <c r="C31" s="9" t="s">
        <v>21</v>
      </c>
      <c r="D31" s="9" t="s">
        <v>27</v>
      </c>
      <c r="E31" s="9" t="s">
        <v>24</v>
      </c>
      <c r="F31" s="33" t="str">
        <f t="shared" si="1"/>
        <v>UNI-Min DIC/SumObs</v>
      </c>
      <c r="G31" s="69">
        <f>1/3</f>
        <v>0.33333333333333331</v>
      </c>
      <c r="H31" s="9">
        <v>0</v>
      </c>
      <c r="I31" s="9">
        <v>0</v>
      </c>
      <c r="J31" s="9">
        <v>0</v>
      </c>
      <c r="K31" s="9">
        <v>0</v>
      </c>
      <c r="L31" s="9">
        <v>0</v>
      </c>
      <c r="M31" s="9">
        <v>0</v>
      </c>
      <c r="N31" s="9">
        <v>0</v>
      </c>
      <c r="O31" s="9">
        <v>1</v>
      </c>
      <c r="P31" s="70">
        <v>1</v>
      </c>
    </row>
    <row r="32" spans="1:16" x14ac:dyDescent="0.2">
      <c r="A32" s="40" t="s">
        <v>106</v>
      </c>
      <c r="B32" s="9" t="s">
        <v>10</v>
      </c>
      <c r="C32" s="9" t="s">
        <v>21</v>
      </c>
      <c r="D32" s="9" t="s">
        <v>27</v>
      </c>
      <c r="E32" s="9" t="s">
        <v>25</v>
      </c>
      <c r="F32" s="33" t="str">
        <f t="shared" si="1"/>
        <v>UNI-Max DIC/SumObs</v>
      </c>
      <c r="G32" s="69">
        <f>1/3</f>
        <v>0.33333333333333331</v>
      </c>
      <c r="H32" s="9">
        <v>0</v>
      </c>
      <c r="I32" s="9">
        <v>0</v>
      </c>
      <c r="J32" s="9">
        <v>0</v>
      </c>
      <c r="K32" s="9">
        <v>0</v>
      </c>
      <c r="L32" s="9">
        <v>0</v>
      </c>
      <c r="M32" s="71">
        <v>0</v>
      </c>
      <c r="N32" s="9">
        <v>0</v>
      </c>
      <c r="O32" s="9">
        <v>1</v>
      </c>
      <c r="P32" s="70">
        <v>1</v>
      </c>
    </row>
    <row r="33" spans="1:16" x14ac:dyDescent="0.2">
      <c r="A33" s="40" t="s">
        <v>106</v>
      </c>
      <c r="B33" s="9" t="s">
        <v>10</v>
      </c>
      <c r="C33" s="9" t="s">
        <v>41</v>
      </c>
      <c r="D33" s="9" t="s">
        <v>27</v>
      </c>
      <c r="E33" s="9" t="s">
        <v>24</v>
      </c>
      <c r="F33" s="33" t="str">
        <f t="shared" si="1"/>
        <v>UNI-Min d13C/SumObs</v>
      </c>
      <c r="G33" s="69">
        <v>0</v>
      </c>
      <c r="H33" s="9">
        <v>0</v>
      </c>
      <c r="I33" s="9">
        <v>0</v>
      </c>
      <c r="J33" s="9">
        <v>0</v>
      </c>
      <c r="K33" s="9">
        <v>0</v>
      </c>
      <c r="L33" s="9">
        <v>0</v>
      </c>
      <c r="M33" s="71">
        <v>0</v>
      </c>
      <c r="N33" s="9">
        <v>0</v>
      </c>
      <c r="O33" s="9" t="s">
        <v>101</v>
      </c>
      <c r="P33" s="70">
        <v>-30</v>
      </c>
    </row>
    <row r="34" spans="1:16" x14ac:dyDescent="0.2">
      <c r="A34" s="40" t="s">
        <v>106</v>
      </c>
      <c r="B34" s="9" t="s">
        <v>10</v>
      </c>
      <c r="C34" s="9" t="s">
        <v>41</v>
      </c>
      <c r="D34" s="9" t="s">
        <v>27</v>
      </c>
      <c r="E34" s="9" t="s">
        <v>25</v>
      </c>
      <c r="F34" s="33" t="str">
        <f t="shared" si="1"/>
        <v>UNI-Max d13C/SumObs</v>
      </c>
      <c r="G34" s="69">
        <v>0</v>
      </c>
      <c r="H34" s="9">
        <v>0</v>
      </c>
      <c r="I34" s="9">
        <v>0</v>
      </c>
      <c r="J34" s="9">
        <v>0</v>
      </c>
      <c r="K34" s="9">
        <v>0</v>
      </c>
      <c r="L34" s="9">
        <v>0</v>
      </c>
      <c r="M34" s="71">
        <v>0</v>
      </c>
      <c r="N34" s="9">
        <v>0</v>
      </c>
      <c r="O34" s="9" t="s">
        <v>102</v>
      </c>
      <c r="P34" s="70">
        <v>-24</v>
      </c>
    </row>
    <row r="35" spans="1:16" x14ac:dyDescent="0.2">
      <c r="A35" s="40" t="s">
        <v>106</v>
      </c>
      <c r="B35" s="9" t="s">
        <v>10</v>
      </c>
      <c r="C35" s="9" t="s">
        <v>15</v>
      </c>
      <c r="D35" s="9" t="s">
        <v>27</v>
      </c>
      <c r="E35" s="9" t="s">
        <v>24</v>
      </c>
      <c r="F35" s="33" t="str">
        <f t="shared" si="1"/>
        <v>UNI-Min SO4/SumObs</v>
      </c>
      <c r="G35" s="69">
        <v>0</v>
      </c>
      <c r="H35" s="9">
        <v>0</v>
      </c>
      <c r="I35" s="9">
        <v>0</v>
      </c>
      <c r="J35" s="9">
        <v>0</v>
      </c>
      <c r="K35" s="9">
        <v>0</v>
      </c>
      <c r="L35" s="26">
        <v>0.5</v>
      </c>
      <c r="M35" s="9">
        <v>0.13</v>
      </c>
      <c r="N35" s="9">
        <v>1</v>
      </c>
      <c r="O35" s="9">
        <v>0</v>
      </c>
      <c r="P35" s="70">
        <v>0</v>
      </c>
    </row>
    <row r="36" spans="1:16" x14ac:dyDescent="0.2">
      <c r="A36" s="40" t="s">
        <v>106</v>
      </c>
      <c r="B36" s="9" t="s">
        <v>10</v>
      </c>
      <c r="C36" s="9" t="s">
        <v>15</v>
      </c>
      <c r="D36" s="9" t="s">
        <v>27</v>
      </c>
      <c r="E36" s="9" t="s">
        <v>25</v>
      </c>
      <c r="F36" s="33" t="str">
        <f t="shared" si="1"/>
        <v>UNI-Max SO4/SumObs</v>
      </c>
      <c r="G36" s="69">
        <v>0</v>
      </c>
      <c r="H36" s="9">
        <v>0</v>
      </c>
      <c r="I36" s="9">
        <v>0</v>
      </c>
      <c r="J36" s="9">
        <v>0</v>
      </c>
      <c r="K36" s="9">
        <v>0</v>
      </c>
      <c r="L36" s="26">
        <v>0.5</v>
      </c>
      <c r="M36" s="9">
        <v>0.37</v>
      </c>
      <c r="N36" s="9">
        <v>1</v>
      </c>
      <c r="O36" s="9">
        <v>0</v>
      </c>
      <c r="P36" s="70">
        <v>0</v>
      </c>
    </row>
    <row r="37" spans="1:16" x14ac:dyDescent="0.2">
      <c r="A37" s="40" t="s">
        <v>106</v>
      </c>
      <c r="B37" s="9" t="s">
        <v>10</v>
      </c>
      <c r="C37" s="9" t="s">
        <v>17</v>
      </c>
      <c r="D37" s="9" t="s">
        <v>27</v>
      </c>
      <c r="E37" s="9" t="s">
        <v>24</v>
      </c>
      <c r="F37" s="33" t="str">
        <f t="shared" si="1"/>
        <v>UNI-Min d34S/SumObs</v>
      </c>
      <c r="G37" s="69">
        <v>0</v>
      </c>
      <c r="H37" s="9">
        <v>0</v>
      </c>
      <c r="I37" s="9">
        <v>0</v>
      </c>
      <c r="J37" s="9">
        <v>0</v>
      </c>
      <c r="K37" s="9">
        <v>0</v>
      </c>
      <c r="L37" s="26">
        <v>10</v>
      </c>
      <c r="M37" s="9">
        <v>4.5</v>
      </c>
      <c r="N37" s="9">
        <v>-20</v>
      </c>
      <c r="O37" s="9">
        <v>0</v>
      </c>
      <c r="P37" s="70">
        <v>0</v>
      </c>
    </row>
    <row r="38" spans="1:16" ht="17" thickBot="1" x14ac:dyDescent="0.25">
      <c r="A38" s="41" t="s">
        <v>106</v>
      </c>
      <c r="B38" s="10" t="s">
        <v>10</v>
      </c>
      <c r="C38" s="10" t="s">
        <v>17</v>
      </c>
      <c r="D38" s="10" t="s">
        <v>27</v>
      </c>
      <c r="E38" s="10" t="s">
        <v>25</v>
      </c>
      <c r="F38" s="34" t="str">
        <f t="shared" si="1"/>
        <v>UNI-Max d34S/SumObs</v>
      </c>
      <c r="G38" s="72">
        <v>0</v>
      </c>
      <c r="H38" s="10">
        <v>0</v>
      </c>
      <c r="I38" s="10">
        <v>0</v>
      </c>
      <c r="J38" s="10">
        <v>0</v>
      </c>
      <c r="K38" s="10">
        <v>0</v>
      </c>
      <c r="L38" s="38">
        <v>30</v>
      </c>
      <c r="M38" s="10">
        <v>5.9</v>
      </c>
      <c r="N38" s="10">
        <v>0</v>
      </c>
      <c r="O38" s="10">
        <v>0</v>
      </c>
      <c r="P38" s="73">
        <v>0</v>
      </c>
    </row>
    <row r="39" spans="1:16" x14ac:dyDescent="0.2">
      <c r="A39" s="13" t="s">
        <v>107</v>
      </c>
      <c r="B39" s="14" t="s">
        <v>10</v>
      </c>
      <c r="C39" s="14" t="s">
        <v>11</v>
      </c>
      <c r="D39" s="14" t="s">
        <v>27</v>
      </c>
      <c r="E39" s="14" t="s">
        <v>24</v>
      </c>
      <c r="F39" s="27" t="str">
        <f t="shared" ref="F39:F56" si="2">IF(B39="Normal",IF(E39="Mean",CONCATENATE("NOR-Men ",C39,"/",D39),IF(E39="1Sigma",CONCATENATE("NOR-Sig ",C39,"/",D39))),IF(B39="Uniform",IF(E39="Min",CONCATENATE("UNI-Min ",C39,"/",D39),IF(E39="Max",CONCATENATE("UNI-Max ",C39,"/",D39))),IF(B39="LogUniform",IF(E39="Min",CONCATENATE("LGU-Min ",C39,"/",D39),IF(E39="Max",CONCATENATE("LGU-Max ",C39,"/",D39))))))</f>
        <v>UNI-Min Ca/SumObs</v>
      </c>
      <c r="G39" s="74">
        <f>1/3</f>
        <v>0.33333333333333331</v>
      </c>
      <c r="H39" s="14">
        <v>1</v>
      </c>
      <c r="I39" s="14">
        <v>0</v>
      </c>
      <c r="J39" s="14">
        <v>0</v>
      </c>
      <c r="K39" s="14">
        <v>0</v>
      </c>
      <c r="L39" s="20">
        <v>0.5</v>
      </c>
      <c r="M39" s="14">
        <v>0.33</v>
      </c>
      <c r="N39" s="14">
        <v>0</v>
      </c>
      <c r="O39" s="14">
        <v>0</v>
      </c>
      <c r="P39" s="75">
        <v>0</v>
      </c>
    </row>
    <row r="40" spans="1:16" x14ac:dyDescent="0.2">
      <c r="A40" s="4" t="s">
        <v>107</v>
      </c>
      <c r="B40" s="5" t="s">
        <v>10</v>
      </c>
      <c r="C40" s="5" t="s">
        <v>11</v>
      </c>
      <c r="D40" s="5" t="s">
        <v>27</v>
      </c>
      <c r="E40" s="5" t="s">
        <v>25</v>
      </c>
      <c r="F40" s="28" t="str">
        <f t="shared" si="2"/>
        <v>UNI-Max Ca/SumObs</v>
      </c>
      <c r="G40" s="76">
        <f>2/3</f>
        <v>0.66666666666666663</v>
      </c>
      <c r="H40" s="5">
        <v>1</v>
      </c>
      <c r="I40" s="5">
        <v>0</v>
      </c>
      <c r="J40" s="5">
        <v>0</v>
      </c>
      <c r="K40" s="5">
        <v>0</v>
      </c>
      <c r="L40" s="21">
        <v>0.5</v>
      </c>
      <c r="M40" s="5">
        <v>0.53</v>
      </c>
      <c r="N40" s="5">
        <v>0</v>
      </c>
      <c r="O40" s="5">
        <v>0</v>
      </c>
      <c r="P40" s="77">
        <v>0</v>
      </c>
    </row>
    <row r="41" spans="1:16" x14ac:dyDescent="0.2">
      <c r="A41" s="4" t="s">
        <v>107</v>
      </c>
      <c r="B41" s="5" t="s">
        <v>10</v>
      </c>
      <c r="C41" s="5" t="s">
        <v>12</v>
      </c>
      <c r="D41" s="5" t="s">
        <v>27</v>
      </c>
      <c r="E41" s="5" t="s">
        <v>24</v>
      </c>
      <c r="F41" s="28" t="str">
        <f t="shared" si="2"/>
        <v>UNI-Min Mg/SumObs</v>
      </c>
      <c r="G41" s="76">
        <v>0</v>
      </c>
      <c r="H41" s="5">
        <v>0</v>
      </c>
      <c r="I41" s="5">
        <v>1</v>
      </c>
      <c r="J41" s="5">
        <v>0</v>
      </c>
      <c r="K41" s="5">
        <v>0</v>
      </c>
      <c r="L41" s="21">
        <v>0</v>
      </c>
      <c r="M41" s="5">
        <v>7.0000000000000007E-2</v>
      </c>
      <c r="N41" s="5">
        <v>0</v>
      </c>
      <c r="O41" s="5">
        <v>0</v>
      </c>
      <c r="P41" s="77">
        <v>0</v>
      </c>
    </row>
    <row r="42" spans="1:16" x14ac:dyDescent="0.2">
      <c r="A42" s="4" t="s">
        <v>107</v>
      </c>
      <c r="B42" s="5" t="s">
        <v>10</v>
      </c>
      <c r="C42" s="5" t="s">
        <v>12</v>
      </c>
      <c r="D42" s="5" t="s">
        <v>27</v>
      </c>
      <c r="E42" s="5" t="s">
        <v>25</v>
      </c>
      <c r="F42" s="28" t="str">
        <f t="shared" si="2"/>
        <v>UNI-Max Mg/SumObs</v>
      </c>
      <c r="G42" s="76">
        <f>1/3</f>
        <v>0.33333333333333331</v>
      </c>
      <c r="H42" s="5">
        <v>0</v>
      </c>
      <c r="I42" s="5">
        <v>1</v>
      </c>
      <c r="J42" s="5">
        <v>0</v>
      </c>
      <c r="K42" s="5">
        <v>0</v>
      </c>
      <c r="L42" s="21">
        <v>0</v>
      </c>
      <c r="M42" s="5">
        <v>0.11</v>
      </c>
      <c r="N42" s="5">
        <v>0</v>
      </c>
      <c r="O42" s="5">
        <v>0</v>
      </c>
      <c r="P42" s="77">
        <v>0</v>
      </c>
    </row>
    <row r="43" spans="1:16" x14ac:dyDescent="0.2">
      <c r="A43" s="4" t="s">
        <v>107</v>
      </c>
      <c r="B43" s="5" t="s">
        <v>10</v>
      </c>
      <c r="C43" s="5" t="s">
        <v>13</v>
      </c>
      <c r="D43" s="5" t="s">
        <v>27</v>
      </c>
      <c r="E43" s="5" t="s">
        <v>24</v>
      </c>
      <c r="F43" s="28" t="str">
        <f t="shared" si="2"/>
        <v>UNI-Min Na/SumObs</v>
      </c>
      <c r="G43" s="76">
        <v>0</v>
      </c>
      <c r="H43" s="5">
        <v>0</v>
      </c>
      <c r="I43" s="5">
        <v>0</v>
      </c>
      <c r="J43" s="5">
        <v>1</v>
      </c>
      <c r="K43" s="5">
        <v>0</v>
      </c>
      <c r="L43" s="21">
        <v>0</v>
      </c>
      <c r="M43" s="5">
        <v>0.12</v>
      </c>
      <c r="N43" s="5">
        <v>0</v>
      </c>
      <c r="O43" s="5">
        <v>0</v>
      </c>
      <c r="P43" s="77">
        <v>0</v>
      </c>
    </row>
    <row r="44" spans="1:16" x14ac:dyDescent="0.2">
      <c r="A44" s="4" t="s">
        <v>107</v>
      </c>
      <c r="B44" s="5" t="s">
        <v>10</v>
      </c>
      <c r="C44" s="5" t="s">
        <v>13</v>
      </c>
      <c r="D44" s="5" t="s">
        <v>27</v>
      </c>
      <c r="E44" s="5" t="s">
        <v>25</v>
      </c>
      <c r="F44" s="28" t="str">
        <f t="shared" si="2"/>
        <v>UNI-Max Na/SumObs</v>
      </c>
      <c r="G44" s="76">
        <v>0</v>
      </c>
      <c r="H44" s="5">
        <v>0</v>
      </c>
      <c r="I44" s="5">
        <v>0</v>
      </c>
      <c r="J44" s="5">
        <v>1</v>
      </c>
      <c r="K44" s="5">
        <v>0</v>
      </c>
      <c r="L44" s="21">
        <v>0</v>
      </c>
      <c r="M44" s="5">
        <v>0.27</v>
      </c>
      <c r="N44" s="5">
        <v>0</v>
      </c>
      <c r="O44" s="5">
        <v>0</v>
      </c>
      <c r="P44" s="77">
        <v>0</v>
      </c>
    </row>
    <row r="45" spans="1:16" x14ac:dyDescent="0.2">
      <c r="A45" s="4" t="s">
        <v>107</v>
      </c>
      <c r="B45" s="5" t="s">
        <v>10</v>
      </c>
      <c r="C45" s="5" t="s">
        <v>22</v>
      </c>
      <c r="D45" s="5" t="s">
        <v>27</v>
      </c>
      <c r="E45" s="5" t="s">
        <v>24</v>
      </c>
      <c r="F45" s="28" t="str">
        <f t="shared" si="2"/>
        <v>UNI-Min K/SumObs</v>
      </c>
      <c r="G45" s="76">
        <v>0</v>
      </c>
      <c r="H45" s="5">
        <v>0</v>
      </c>
      <c r="I45" s="5">
        <v>0</v>
      </c>
      <c r="J45" s="5">
        <v>0</v>
      </c>
      <c r="K45" s="5">
        <v>1</v>
      </c>
      <c r="L45" s="21">
        <v>0</v>
      </c>
      <c r="M45" s="5">
        <v>0.03</v>
      </c>
      <c r="N45" s="5">
        <v>0</v>
      </c>
      <c r="O45" s="5">
        <v>0</v>
      </c>
      <c r="P45" s="77">
        <v>0</v>
      </c>
    </row>
    <row r="46" spans="1:16" x14ac:dyDescent="0.2">
      <c r="A46" s="4" t="s">
        <v>107</v>
      </c>
      <c r="B46" s="5" t="s">
        <v>10</v>
      </c>
      <c r="C46" s="5" t="s">
        <v>22</v>
      </c>
      <c r="D46" s="5" t="s">
        <v>27</v>
      </c>
      <c r="E46" s="5" t="s">
        <v>25</v>
      </c>
      <c r="F46" s="28" t="str">
        <f t="shared" si="2"/>
        <v>UNI-Max K/SumObs</v>
      </c>
      <c r="G46" s="76">
        <v>0</v>
      </c>
      <c r="H46" s="5">
        <v>0</v>
      </c>
      <c r="I46" s="5">
        <v>0</v>
      </c>
      <c r="J46" s="5">
        <v>0</v>
      </c>
      <c r="K46" s="5">
        <v>1</v>
      </c>
      <c r="L46" s="21">
        <v>0</v>
      </c>
      <c r="M46" s="5">
        <v>0.06</v>
      </c>
      <c r="N46" s="5">
        <v>0</v>
      </c>
      <c r="O46" s="5">
        <v>0</v>
      </c>
      <c r="P46" s="77">
        <v>0</v>
      </c>
    </row>
    <row r="47" spans="1:16" x14ac:dyDescent="0.2">
      <c r="A47" s="4" t="s">
        <v>107</v>
      </c>
      <c r="B47" s="5" t="s">
        <v>10</v>
      </c>
      <c r="C47" s="5" t="s">
        <v>14</v>
      </c>
      <c r="D47" s="5" t="s">
        <v>27</v>
      </c>
      <c r="E47" s="5" t="s">
        <v>24</v>
      </c>
      <c r="F47" s="28" t="str">
        <f t="shared" si="2"/>
        <v>UNI-Min Cl/SumObs</v>
      </c>
      <c r="G47" s="76">
        <v>0</v>
      </c>
      <c r="H47" s="5">
        <v>0</v>
      </c>
      <c r="I47" s="5">
        <v>0</v>
      </c>
      <c r="J47" s="5">
        <v>0</v>
      </c>
      <c r="K47" s="5">
        <v>0</v>
      </c>
      <c r="L47" s="21">
        <v>0</v>
      </c>
      <c r="M47" s="5">
        <v>0.1</v>
      </c>
      <c r="N47" s="5">
        <v>0</v>
      </c>
      <c r="O47" s="5">
        <v>0</v>
      </c>
      <c r="P47" s="77">
        <v>0</v>
      </c>
    </row>
    <row r="48" spans="1:16" x14ac:dyDescent="0.2">
      <c r="A48" s="4" t="s">
        <v>107</v>
      </c>
      <c r="B48" s="5" t="s">
        <v>10</v>
      </c>
      <c r="C48" s="5" t="s">
        <v>14</v>
      </c>
      <c r="D48" s="5" t="s">
        <v>27</v>
      </c>
      <c r="E48" s="5" t="s">
        <v>25</v>
      </c>
      <c r="F48" s="28" t="str">
        <f t="shared" si="2"/>
        <v>UNI-Max Cl/SumObs</v>
      </c>
      <c r="G48" s="76">
        <v>0</v>
      </c>
      <c r="H48" s="5">
        <v>0</v>
      </c>
      <c r="I48" s="5">
        <v>0</v>
      </c>
      <c r="J48" s="5">
        <v>0</v>
      </c>
      <c r="K48" s="5">
        <v>0</v>
      </c>
      <c r="L48" s="21">
        <v>0</v>
      </c>
      <c r="M48" s="5">
        <v>0.33</v>
      </c>
      <c r="N48" s="5">
        <v>0</v>
      </c>
      <c r="O48" s="5">
        <v>0</v>
      </c>
      <c r="P48" s="77">
        <v>0</v>
      </c>
    </row>
    <row r="49" spans="1:16" x14ac:dyDescent="0.2">
      <c r="A49" s="4" t="s">
        <v>107</v>
      </c>
      <c r="B49" s="5" t="s">
        <v>10</v>
      </c>
      <c r="C49" s="5" t="s">
        <v>21</v>
      </c>
      <c r="D49" s="5" t="s">
        <v>27</v>
      </c>
      <c r="E49" s="5" t="s">
        <v>24</v>
      </c>
      <c r="F49" s="28" t="str">
        <f t="shared" si="2"/>
        <v>UNI-Min DIC/SumObs</v>
      </c>
      <c r="G49" s="76">
        <f>1/3</f>
        <v>0.33333333333333331</v>
      </c>
      <c r="H49" s="5">
        <v>0</v>
      </c>
      <c r="I49" s="5">
        <v>0</v>
      </c>
      <c r="J49" s="5">
        <v>0</v>
      </c>
      <c r="K49" s="5">
        <v>0</v>
      </c>
      <c r="L49" s="5">
        <v>0</v>
      </c>
      <c r="M49" s="5">
        <v>0</v>
      </c>
      <c r="N49" s="5">
        <v>0</v>
      </c>
      <c r="O49" s="5">
        <v>1</v>
      </c>
      <c r="P49" s="77">
        <v>1</v>
      </c>
    </row>
    <row r="50" spans="1:16" x14ac:dyDescent="0.2">
      <c r="A50" s="4" t="s">
        <v>107</v>
      </c>
      <c r="B50" s="5" t="s">
        <v>10</v>
      </c>
      <c r="C50" s="5" t="s">
        <v>21</v>
      </c>
      <c r="D50" s="5" t="s">
        <v>27</v>
      </c>
      <c r="E50" s="5" t="s">
        <v>25</v>
      </c>
      <c r="F50" s="28" t="str">
        <f t="shared" si="2"/>
        <v>UNI-Max DIC/SumObs</v>
      </c>
      <c r="G50" s="76">
        <f>1/3</f>
        <v>0.33333333333333331</v>
      </c>
      <c r="H50" s="5">
        <v>0</v>
      </c>
      <c r="I50" s="5">
        <v>0</v>
      </c>
      <c r="J50" s="5">
        <v>0</v>
      </c>
      <c r="K50" s="5">
        <v>0</v>
      </c>
      <c r="L50" s="5">
        <v>0</v>
      </c>
      <c r="M50" s="78">
        <v>0</v>
      </c>
      <c r="N50" s="5">
        <v>0</v>
      </c>
      <c r="O50" s="5">
        <v>1</v>
      </c>
      <c r="P50" s="77">
        <v>1</v>
      </c>
    </row>
    <row r="51" spans="1:16" x14ac:dyDescent="0.2">
      <c r="A51" s="4" t="s">
        <v>107</v>
      </c>
      <c r="B51" s="5" t="s">
        <v>10</v>
      </c>
      <c r="C51" s="5" t="s">
        <v>41</v>
      </c>
      <c r="D51" s="5" t="s">
        <v>27</v>
      </c>
      <c r="E51" s="5" t="s">
        <v>24</v>
      </c>
      <c r="F51" s="28" t="str">
        <f t="shared" si="2"/>
        <v>UNI-Min d13C/SumObs</v>
      </c>
      <c r="G51" s="76">
        <v>0</v>
      </c>
      <c r="H51" s="5">
        <v>0</v>
      </c>
      <c r="I51" s="5">
        <v>0</v>
      </c>
      <c r="J51" s="5">
        <v>0</v>
      </c>
      <c r="K51" s="5">
        <v>0</v>
      </c>
      <c r="L51" s="5">
        <v>0</v>
      </c>
      <c r="M51" s="78">
        <v>0</v>
      </c>
      <c r="N51" s="5">
        <v>0</v>
      </c>
      <c r="O51" s="5" t="s">
        <v>103</v>
      </c>
      <c r="P51" s="77">
        <v>-30</v>
      </c>
    </row>
    <row r="52" spans="1:16" x14ac:dyDescent="0.2">
      <c r="A52" s="4" t="s">
        <v>107</v>
      </c>
      <c r="B52" s="5" t="s">
        <v>10</v>
      </c>
      <c r="C52" s="5" t="s">
        <v>41</v>
      </c>
      <c r="D52" s="5" t="s">
        <v>27</v>
      </c>
      <c r="E52" s="5" t="s">
        <v>25</v>
      </c>
      <c r="F52" s="28" t="str">
        <f t="shared" si="2"/>
        <v>UNI-Max d13C/SumObs</v>
      </c>
      <c r="G52" s="76">
        <v>0</v>
      </c>
      <c r="H52" s="5">
        <v>0</v>
      </c>
      <c r="I52" s="5">
        <v>0</v>
      </c>
      <c r="J52" s="5">
        <v>0</v>
      </c>
      <c r="K52" s="5">
        <v>0</v>
      </c>
      <c r="L52" s="5">
        <v>0</v>
      </c>
      <c r="M52" s="78">
        <v>0</v>
      </c>
      <c r="N52" s="5">
        <v>0</v>
      </c>
      <c r="O52" s="5" t="s">
        <v>104</v>
      </c>
      <c r="P52" s="77">
        <v>-24</v>
      </c>
    </row>
    <row r="53" spans="1:16" x14ac:dyDescent="0.2">
      <c r="A53" s="4" t="s">
        <v>107</v>
      </c>
      <c r="B53" s="5" t="s">
        <v>10</v>
      </c>
      <c r="C53" s="5" t="s">
        <v>15</v>
      </c>
      <c r="D53" s="5" t="s">
        <v>27</v>
      </c>
      <c r="E53" s="5" t="s">
        <v>24</v>
      </c>
      <c r="F53" s="28" t="str">
        <f t="shared" si="2"/>
        <v>UNI-Min SO4/SumObs</v>
      </c>
      <c r="G53" s="76">
        <v>0</v>
      </c>
      <c r="H53" s="5">
        <v>0</v>
      </c>
      <c r="I53" s="5">
        <v>0</v>
      </c>
      <c r="J53" s="5">
        <v>0</v>
      </c>
      <c r="K53" s="5">
        <v>0</v>
      </c>
      <c r="L53" s="21">
        <v>0.5</v>
      </c>
      <c r="M53" s="5">
        <v>0.13</v>
      </c>
      <c r="N53" s="5">
        <v>1</v>
      </c>
      <c r="O53" s="5">
        <v>0</v>
      </c>
      <c r="P53" s="77">
        <v>0</v>
      </c>
    </row>
    <row r="54" spans="1:16" x14ac:dyDescent="0.2">
      <c r="A54" s="4" t="s">
        <v>107</v>
      </c>
      <c r="B54" s="5" t="s">
        <v>10</v>
      </c>
      <c r="C54" s="5" t="s">
        <v>15</v>
      </c>
      <c r="D54" s="5" t="s">
        <v>27</v>
      </c>
      <c r="E54" s="5" t="s">
        <v>25</v>
      </c>
      <c r="F54" s="28" t="str">
        <f t="shared" si="2"/>
        <v>UNI-Max SO4/SumObs</v>
      </c>
      <c r="G54" s="76">
        <v>0</v>
      </c>
      <c r="H54" s="5">
        <v>0</v>
      </c>
      <c r="I54" s="5">
        <v>0</v>
      </c>
      <c r="J54" s="5">
        <v>0</v>
      </c>
      <c r="K54" s="5">
        <v>0</v>
      </c>
      <c r="L54" s="21">
        <v>0.5</v>
      </c>
      <c r="M54" s="5">
        <v>0.37</v>
      </c>
      <c r="N54" s="5">
        <v>1</v>
      </c>
      <c r="O54" s="5">
        <v>0</v>
      </c>
      <c r="P54" s="77">
        <v>0</v>
      </c>
    </row>
    <row r="55" spans="1:16" x14ac:dyDescent="0.2">
      <c r="A55" s="4" t="s">
        <v>107</v>
      </c>
      <c r="B55" s="5" t="s">
        <v>10</v>
      </c>
      <c r="C55" s="5" t="s">
        <v>17</v>
      </c>
      <c r="D55" s="5" t="s">
        <v>27</v>
      </c>
      <c r="E55" s="5" t="s">
        <v>24</v>
      </c>
      <c r="F55" s="28" t="str">
        <f t="shared" si="2"/>
        <v>UNI-Min d34S/SumObs</v>
      </c>
      <c r="G55" s="76">
        <v>0</v>
      </c>
      <c r="H55" s="5">
        <v>0</v>
      </c>
      <c r="I55" s="5">
        <v>0</v>
      </c>
      <c r="J55" s="5">
        <v>0</v>
      </c>
      <c r="K55" s="5">
        <v>0</v>
      </c>
      <c r="L55" s="21">
        <v>10</v>
      </c>
      <c r="M55" s="5">
        <v>4.5</v>
      </c>
      <c r="N55" s="5">
        <v>-20</v>
      </c>
      <c r="O55" s="5">
        <v>0</v>
      </c>
      <c r="P55" s="77">
        <v>0</v>
      </c>
    </row>
    <row r="56" spans="1:16" ht="17" thickBot="1" x14ac:dyDescent="0.25">
      <c r="A56" s="17" t="s">
        <v>107</v>
      </c>
      <c r="B56" s="18" t="s">
        <v>10</v>
      </c>
      <c r="C56" s="18" t="s">
        <v>17</v>
      </c>
      <c r="D56" s="18" t="s">
        <v>27</v>
      </c>
      <c r="E56" s="18" t="s">
        <v>25</v>
      </c>
      <c r="F56" s="29" t="str">
        <f t="shared" si="2"/>
        <v>UNI-Max d34S/SumObs</v>
      </c>
      <c r="G56" s="79">
        <v>0</v>
      </c>
      <c r="H56" s="18">
        <v>0</v>
      </c>
      <c r="I56" s="18">
        <v>0</v>
      </c>
      <c r="J56" s="18">
        <v>0</v>
      </c>
      <c r="K56" s="18">
        <v>0</v>
      </c>
      <c r="L56" s="22">
        <v>30</v>
      </c>
      <c r="M56" s="18">
        <v>5.9</v>
      </c>
      <c r="N56" s="18">
        <v>0</v>
      </c>
      <c r="O56" s="18">
        <v>0</v>
      </c>
      <c r="P56" s="80">
        <v>0</v>
      </c>
    </row>
  </sheetData>
  <dataValidations count="2">
    <dataValidation type="list" allowBlank="1" showInputMessage="1" showErrorMessage="1" sqref="A2:F2" xr:uid="{70ADD023-8B01-0041-A9D0-BE75E8E93467}">
      <formula1>" "</formula1>
    </dataValidation>
    <dataValidation type="list" allowBlank="1" showInputMessage="1" showErrorMessage="1" sqref="C3:C56" xr:uid="{3712DA32-348A-2647-B7D4-8BEF9A30D633}">
      <formula1>"ALK, DIC, Ca, Mg, Na, K, Sr, Fe, HCO3, Cl, SO4, NO3, PO4, Si, Ge, Li, F, B, Re, Mo, Os, d7Li, d13C, Fmod, d34S, d18O, d26Mg, d42Ca, d44Ca, d56Fe, d30Si, Sr8786, d98Mo, Os8788, SumObs, FeS2SO4, FeS2d34S"</formula1>
    </dataValidation>
  </dataValidation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2A94-8A32-0740-9E41-18F59EBF70B6}">
  <dimension ref="A1:C35"/>
  <sheetViews>
    <sheetView workbookViewId="0">
      <pane ySplit="1" topLeftCell="A2" activePane="bottomLeft" state="frozen"/>
      <selection pane="bottomLeft" activeCell="F13" sqref="F13"/>
    </sheetView>
  </sheetViews>
  <sheetFormatPr baseColWidth="10" defaultRowHeight="16" x14ac:dyDescent="0.2"/>
  <cols>
    <col min="1" max="1" width="10.83203125" style="1"/>
    <col min="2" max="2" width="16.83203125" style="1" customWidth="1"/>
    <col min="3" max="16384" width="10.83203125" style="1"/>
  </cols>
  <sheetData>
    <row r="1" spans="1:3" ht="17" customHeight="1" thickBot="1" x14ac:dyDescent="0.25">
      <c r="A1" s="42" t="s">
        <v>77</v>
      </c>
      <c r="B1" s="43" t="s">
        <v>78</v>
      </c>
      <c r="C1" s="44" t="s">
        <v>80</v>
      </c>
    </row>
    <row r="2" spans="1:3" x14ac:dyDescent="0.2">
      <c r="A2" s="45" t="s">
        <v>21</v>
      </c>
      <c r="B2" s="1">
        <v>1</v>
      </c>
      <c r="C2" s="46" t="s">
        <v>82</v>
      </c>
    </row>
    <row r="3" spans="1:3" x14ac:dyDescent="0.2">
      <c r="A3" s="45" t="s">
        <v>20</v>
      </c>
      <c r="B3" s="1">
        <v>1</v>
      </c>
      <c r="C3" s="46" t="s">
        <v>81</v>
      </c>
    </row>
    <row r="4" spans="1:3" x14ac:dyDescent="0.2">
      <c r="A4" s="45" t="s">
        <v>16</v>
      </c>
      <c r="B4" s="1">
        <v>1</v>
      </c>
      <c r="C4" s="46" t="s">
        <v>81</v>
      </c>
    </row>
    <row r="5" spans="1:3" x14ac:dyDescent="0.2">
      <c r="A5" s="45" t="s">
        <v>11</v>
      </c>
      <c r="B5" s="1">
        <v>2</v>
      </c>
      <c r="C5" s="46" t="s">
        <v>83</v>
      </c>
    </row>
    <row r="6" spans="1:3" x14ac:dyDescent="0.2">
      <c r="A6" s="45" t="s">
        <v>12</v>
      </c>
      <c r="B6" s="1">
        <v>2</v>
      </c>
      <c r="C6" s="46" t="s">
        <v>83</v>
      </c>
    </row>
    <row r="7" spans="1:3" x14ac:dyDescent="0.2">
      <c r="A7" s="45" t="s">
        <v>13</v>
      </c>
      <c r="B7" s="1">
        <v>1</v>
      </c>
      <c r="C7" s="46" t="s">
        <v>83</v>
      </c>
    </row>
    <row r="8" spans="1:3" x14ac:dyDescent="0.2">
      <c r="A8" s="45" t="s">
        <v>22</v>
      </c>
      <c r="B8" s="1">
        <v>1</v>
      </c>
      <c r="C8" s="46" t="s">
        <v>83</v>
      </c>
    </row>
    <row r="9" spans="1:3" x14ac:dyDescent="0.2">
      <c r="A9" s="45" t="s">
        <v>18</v>
      </c>
      <c r="B9" s="1">
        <v>2</v>
      </c>
      <c r="C9" s="46" t="s">
        <v>83</v>
      </c>
    </row>
    <row r="10" spans="1:3" x14ac:dyDescent="0.2">
      <c r="A10" s="45" t="s">
        <v>89</v>
      </c>
      <c r="B10" s="1">
        <v>2</v>
      </c>
      <c r="C10" s="46" t="s">
        <v>83</v>
      </c>
    </row>
    <row r="11" spans="1:3" x14ac:dyDescent="0.2">
      <c r="A11" s="45" t="s">
        <v>14</v>
      </c>
      <c r="B11" s="1">
        <v>1</v>
      </c>
      <c r="C11" s="46" t="s">
        <v>81</v>
      </c>
    </row>
    <row r="12" spans="1:3" x14ac:dyDescent="0.2">
      <c r="A12" s="45" t="s">
        <v>15</v>
      </c>
      <c r="B12" s="1">
        <v>2</v>
      </c>
      <c r="C12" s="46" t="s">
        <v>81</v>
      </c>
    </row>
    <row r="13" spans="1:3" x14ac:dyDescent="0.2">
      <c r="A13" s="45" t="s">
        <v>79</v>
      </c>
      <c r="B13" s="1">
        <v>1</v>
      </c>
      <c r="C13" s="46" t="s">
        <v>81</v>
      </c>
    </row>
    <row r="14" spans="1:3" x14ac:dyDescent="0.2">
      <c r="A14" s="45" t="s">
        <v>84</v>
      </c>
      <c r="B14" s="1">
        <v>3</v>
      </c>
      <c r="C14" s="46" t="s">
        <v>81</v>
      </c>
    </row>
    <row r="15" spans="1:3" x14ac:dyDescent="0.2">
      <c r="A15" s="45" t="s">
        <v>33</v>
      </c>
      <c r="B15" s="1">
        <v>1</v>
      </c>
      <c r="C15" s="46" t="s">
        <v>82</v>
      </c>
    </row>
    <row r="16" spans="1:3" x14ac:dyDescent="0.2">
      <c r="A16" s="45" t="s">
        <v>85</v>
      </c>
      <c r="B16" s="1">
        <v>1</v>
      </c>
      <c r="C16" s="46" t="s">
        <v>82</v>
      </c>
    </row>
    <row r="17" spans="1:3" x14ac:dyDescent="0.2">
      <c r="A17" s="45" t="s">
        <v>31</v>
      </c>
      <c r="B17" s="1">
        <v>1</v>
      </c>
      <c r="C17" s="46" t="s">
        <v>83</v>
      </c>
    </row>
    <row r="18" spans="1:3" x14ac:dyDescent="0.2">
      <c r="A18" s="45" t="s">
        <v>86</v>
      </c>
      <c r="B18" s="1">
        <v>1</v>
      </c>
      <c r="C18" s="46" t="s">
        <v>81</v>
      </c>
    </row>
    <row r="19" spans="1:3" x14ac:dyDescent="0.2">
      <c r="A19" s="45" t="s">
        <v>87</v>
      </c>
      <c r="B19" s="1">
        <v>1</v>
      </c>
      <c r="C19" s="46" t="s">
        <v>82</v>
      </c>
    </row>
    <row r="20" spans="1:3" x14ac:dyDescent="0.2">
      <c r="A20" s="45" t="s">
        <v>19</v>
      </c>
      <c r="B20" s="1">
        <v>1</v>
      </c>
      <c r="C20" s="46" t="s">
        <v>82</v>
      </c>
    </row>
    <row r="21" spans="1:3" x14ac:dyDescent="0.2">
      <c r="A21" s="45" t="s">
        <v>88</v>
      </c>
      <c r="B21" s="1">
        <v>1</v>
      </c>
      <c r="C21" s="46" t="s">
        <v>82</v>
      </c>
    </row>
    <row r="22" spans="1:3" x14ac:dyDescent="0.2">
      <c r="A22" s="45" t="s">
        <v>45</v>
      </c>
      <c r="B22" s="1">
        <v>1</v>
      </c>
      <c r="C22" s="46" t="s">
        <v>82</v>
      </c>
    </row>
    <row r="23" spans="1:3" x14ac:dyDescent="0.2">
      <c r="A23" s="45" t="s">
        <v>32</v>
      </c>
      <c r="B23" s="1">
        <v>1</v>
      </c>
      <c r="C23" s="46" t="s">
        <v>82</v>
      </c>
    </row>
    <row r="24" spans="1:3" x14ac:dyDescent="0.2">
      <c r="A24" s="45" t="s">
        <v>41</v>
      </c>
      <c r="B24" s="1">
        <v>1</v>
      </c>
      <c r="C24" s="46" t="s">
        <v>82</v>
      </c>
    </row>
    <row r="25" spans="1:3" x14ac:dyDescent="0.2">
      <c r="A25" s="45" t="s">
        <v>42</v>
      </c>
      <c r="B25" s="1">
        <v>1</v>
      </c>
      <c r="C25" s="46" t="s">
        <v>82</v>
      </c>
    </row>
    <row r="26" spans="1:3" x14ac:dyDescent="0.2">
      <c r="A26" s="45" t="s">
        <v>29</v>
      </c>
      <c r="B26" s="1">
        <v>1</v>
      </c>
      <c r="C26" s="46" t="s">
        <v>82</v>
      </c>
    </row>
    <row r="27" spans="1:3" x14ac:dyDescent="0.2">
      <c r="A27" s="45" t="s">
        <v>34</v>
      </c>
      <c r="B27" s="1">
        <v>1</v>
      </c>
      <c r="C27" s="46" t="s">
        <v>82</v>
      </c>
    </row>
    <row r="28" spans="1:3" x14ac:dyDescent="0.2">
      <c r="A28" s="45" t="s">
        <v>17</v>
      </c>
      <c r="B28" s="1">
        <v>1</v>
      </c>
      <c r="C28" s="46" t="s">
        <v>82</v>
      </c>
    </row>
    <row r="29" spans="1:3" x14ac:dyDescent="0.2">
      <c r="A29" s="45" t="s">
        <v>43</v>
      </c>
      <c r="B29" s="1">
        <v>1</v>
      </c>
      <c r="C29" s="46" t="s">
        <v>82</v>
      </c>
    </row>
    <row r="30" spans="1:3" x14ac:dyDescent="0.2">
      <c r="A30" s="45" t="s">
        <v>30</v>
      </c>
      <c r="B30" s="1">
        <v>1</v>
      </c>
      <c r="C30" s="46" t="s">
        <v>82</v>
      </c>
    </row>
    <row r="31" spans="1:3" x14ac:dyDescent="0.2">
      <c r="A31" s="45" t="s">
        <v>90</v>
      </c>
      <c r="B31" s="1">
        <v>1</v>
      </c>
      <c r="C31" s="46" t="s">
        <v>82</v>
      </c>
    </row>
    <row r="32" spans="1:3" x14ac:dyDescent="0.2">
      <c r="A32" s="45" t="s">
        <v>28</v>
      </c>
      <c r="B32" s="1">
        <v>1</v>
      </c>
      <c r="C32" s="46" t="s">
        <v>82</v>
      </c>
    </row>
    <row r="33" spans="1:3" x14ac:dyDescent="0.2">
      <c r="A33" s="45" t="s">
        <v>44</v>
      </c>
      <c r="B33" s="1">
        <v>1</v>
      </c>
      <c r="C33" s="46" t="s">
        <v>82</v>
      </c>
    </row>
    <row r="34" spans="1:3" x14ac:dyDescent="0.2">
      <c r="A34" s="45" t="s">
        <v>48</v>
      </c>
      <c r="B34" s="1">
        <v>1</v>
      </c>
      <c r="C34" s="46" t="s">
        <v>82</v>
      </c>
    </row>
    <row r="35" spans="1:3" ht="17" thickBot="1" x14ac:dyDescent="0.25">
      <c r="A35" s="47" t="s">
        <v>36</v>
      </c>
      <c r="B35" s="48">
        <v>1</v>
      </c>
      <c r="C35" s="49" t="s">
        <v>82</v>
      </c>
    </row>
  </sheetData>
  <dataValidations count="1">
    <dataValidation type="list" allowBlank="1" showInputMessage="1" showErrorMessage="1" sqref="C2:C35" xr:uid="{D7A428B4-09FA-0F42-B5DB-0CF44322F9B4}">
      <formula1>"positive, negative, neutral"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0365-D217-AC4A-9BFF-9A59556CB299}">
  <dimension ref="A1:AO11"/>
  <sheetViews>
    <sheetView workbookViewId="0">
      <pane ySplit="1" topLeftCell="A2" activePane="bottomLeft" state="frozen"/>
      <selection pane="bottomLeft" activeCell="C8" sqref="C8"/>
    </sheetView>
  </sheetViews>
  <sheetFormatPr baseColWidth="10" defaultRowHeight="16" x14ac:dyDescent="0.2"/>
  <cols>
    <col min="1" max="2" width="14.5" customWidth="1"/>
    <col min="4" max="4" width="14.33203125" customWidth="1"/>
  </cols>
  <sheetData>
    <row r="1" spans="1:41" ht="17" thickBot="1" x14ac:dyDescent="0.25">
      <c r="A1" s="55" t="s">
        <v>40</v>
      </c>
      <c r="B1" s="56" t="s">
        <v>64</v>
      </c>
      <c r="C1" s="56" t="s">
        <v>46</v>
      </c>
      <c r="D1" s="56" t="s">
        <v>47</v>
      </c>
      <c r="E1" s="56" t="s">
        <v>50</v>
      </c>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8"/>
    </row>
    <row r="2" spans="1:41" x14ac:dyDescent="0.2">
      <c r="A2" s="50" t="s">
        <v>32</v>
      </c>
      <c r="B2" t="s">
        <v>65</v>
      </c>
      <c r="C2">
        <f>(1/0.08212)/(0.14/1000+1)</f>
        <v>12.175596926415688</v>
      </c>
      <c r="D2" t="s">
        <v>53</v>
      </c>
      <c r="E2" t="s">
        <v>63</v>
      </c>
      <c r="AO2" s="51"/>
    </row>
    <row r="3" spans="1:41" x14ac:dyDescent="0.2">
      <c r="A3" s="50" t="s">
        <v>41</v>
      </c>
      <c r="B3" t="s">
        <v>66</v>
      </c>
      <c r="C3">
        <v>1.1180000000000001E-2</v>
      </c>
      <c r="D3" t="s">
        <v>51</v>
      </c>
      <c r="E3" t="s">
        <v>57</v>
      </c>
      <c r="AO3" s="51"/>
    </row>
    <row r="4" spans="1:41" x14ac:dyDescent="0.2">
      <c r="A4" s="50" t="s">
        <v>42</v>
      </c>
      <c r="B4" t="s">
        <v>67</v>
      </c>
      <c r="C4">
        <v>2.0052E-3</v>
      </c>
      <c r="D4" t="s">
        <v>52</v>
      </c>
      <c r="E4" t="s">
        <v>58</v>
      </c>
      <c r="AO4" s="51"/>
    </row>
    <row r="5" spans="1:41" x14ac:dyDescent="0.2">
      <c r="A5" s="50" t="s">
        <v>29</v>
      </c>
      <c r="B5" t="s">
        <v>68</v>
      </c>
      <c r="C5">
        <v>0.1396906</v>
      </c>
      <c r="D5" t="s">
        <v>54</v>
      </c>
      <c r="E5" t="s">
        <v>55</v>
      </c>
      <c r="AO5" s="51"/>
    </row>
    <row r="6" spans="1:41" x14ac:dyDescent="0.2">
      <c r="A6" s="50" t="s">
        <v>34</v>
      </c>
      <c r="B6" t="s">
        <v>69</v>
      </c>
      <c r="C6">
        <f>0.0309249/0.9222059</f>
        <v>3.3533617601015135E-2</v>
      </c>
      <c r="D6" t="s">
        <v>59</v>
      </c>
      <c r="E6" t="s">
        <v>60</v>
      </c>
      <c r="AO6" s="51"/>
    </row>
    <row r="7" spans="1:41" x14ac:dyDescent="0.2">
      <c r="A7" s="50" t="s">
        <v>17</v>
      </c>
      <c r="B7" t="s">
        <v>70</v>
      </c>
      <c r="C7">
        <f>1/22.6436</f>
        <v>4.416258898761681E-2</v>
      </c>
      <c r="D7" t="s">
        <v>49</v>
      </c>
      <c r="E7" t="s">
        <v>56</v>
      </c>
      <c r="AO7" s="51"/>
    </row>
    <row r="8" spans="1:41" x14ac:dyDescent="0.2">
      <c r="A8" s="50" t="s">
        <v>43</v>
      </c>
      <c r="B8" t="s">
        <v>72</v>
      </c>
      <c r="C8">
        <f>(1/0.3104)/(0.085/1000+1)</f>
        <v>3.2213756676043364</v>
      </c>
      <c r="D8" t="s">
        <v>61</v>
      </c>
      <c r="E8" t="s">
        <v>73</v>
      </c>
      <c r="AO8" s="51"/>
    </row>
    <row r="9" spans="1:41" x14ac:dyDescent="0.2">
      <c r="A9" s="50" t="s">
        <v>30</v>
      </c>
      <c r="B9" t="s">
        <v>71</v>
      </c>
      <c r="C9">
        <f>(1/46.48)/(0.17/1000+1)</f>
        <v>2.1510973082940789E-2</v>
      </c>
      <c r="D9" t="s">
        <v>61</v>
      </c>
      <c r="E9" t="s">
        <v>62</v>
      </c>
      <c r="AO9" s="51"/>
    </row>
    <row r="10" spans="1:41" x14ac:dyDescent="0.2">
      <c r="A10" s="50" t="s">
        <v>90</v>
      </c>
      <c r="B10" t="s">
        <v>91</v>
      </c>
      <c r="C10">
        <f>1/0.0637</f>
        <v>15.698587127158554</v>
      </c>
      <c r="D10" t="s">
        <v>92</v>
      </c>
      <c r="E10" t="s">
        <v>93</v>
      </c>
      <c r="AO10" s="51"/>
    </row>
    <row r="11" spans="1:41" ht="17" thickBot="1" x14ac:dyDescent="0.25">
      <c r="A11" s="52" t="s">
        <v>44</v>
      </c>
      <c r="B11" s="53" t="s">
        <v>74</v>
      </c>
      <c r="C11" s="53">
        <f>24.29/15.873</f>
        <v>1.5302715302715302</v>
      </c>
      <c r="D11" s="53" t="s">
        <v>75</v>
      </c>
      <c r="E11" s="53" t="s">
        <v>76</v>
      </c>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4"/>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MEANDIR_Endmembers</vt:lpstr>
      <vt:lpstr>MEANDIR_conc2equi</vt:lpstr>
      <vt:lpstr>MEANDIR_DeltaNotationToR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Preston Kemeny</dc:creator>
  <cp:lastModifiedBy>Preston Kemeny</cp:lastModifiedBy>
  <dcterms:created xsi:type="dcterms:W3CDTF">2018-02-28T22:02:59Z</dcterms:created>
  <dcterms:modified xsi:type="dcterms:W3CDTF">2023-08-28T22:44:10Z</dcterms:modified>
</cp:coreProperties>
</file>